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まとめ" sheetId="1" state="visible" r:id="rId3"/>
    <sheet name="契約別明細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<sst xmlns="http://schemas.openxmlformats.org/spreadsheetml/2006/main" count="99" uniqueCount="31">
  <si>
    <r>
      <rPr>
        <b val="true"/>
        <sz val="13"/>
        <rFont val="Arial"/>
        <family val="0"/>
        <charset val="1"/>
      </rPr>
      <t xml:space="preserve">Wawasan</t>
    </r>
    <r>
      <rPr>
        <b val="true"/>
        <sz val="13"/>
        <rFont val="WenQuanYi Zen Hei"/>
        <family val="2"/>
      </rPr>
      <t xml:space="preserve">社　コミッション明細　</t>
    </r>
    <r>
      <rPr>
        <b val="true"/>
        <sz val="13"/>
        <rFont val="Arial"/>
        <family val="0"/>
        <charset val="1"/>
      </rPr>
      <t xml:space="preserve">2026</t>
    </r>
    <r>
      <rPr>
        <b val="true"/>
        <sz val="13"/>
        <rFont val="WenQuanYi Zen Hei"/>
        <family val="2"/>
      </rPr>
      <t xml:space="preserve">年</t>
    </r>
    <r>
      <rPr>
        <b val="true"/>
        <sz val="13"/>
        <rFont val="Arial"/>
        <family val="0"/>
        <charset val="1"/>
      </rPr>
      <t xml:space="preserve">10</t>
    </r>
    <r>
      <rPr>
        <b val="true"/>
        <sz val="13"/>
        <rFont val="WenQuanYi Zen Hei"/>
        <family val="2"/>
      </rPr>
      <t xml:space="preserve">月分（</t>
    </r>
    <r>
      <rPr>
        <b val="true"/>
        <sz val="13"/>
        <rFont val="Arial"/>
        <family val="0"/>
        <charset val="1"/>
      </rPr>
      <t xml:space="preserve">Decillion Tokyo Co.,Ltd </t>
    </r>
    <r>
      <rPr>
        <b val="true"/>
        <sz val="13"/>
        <rFont val="WenQuanYi Zen Hei"/>
        <family val="2"/>
      </rPr>
      <t xml:space="preserve">様）</t>
    </r>
  </si>
  <si>
    <r>
      <rPr>
        <sz val="9"/>
        <rFont val="Arial"/>
        <family val="0"/>
        <charset val="1"/>
      </rPr>
      <t xml:space="preserve">8</t>
    </r>
    <r>
      <rPr>
        <sz val="9"/>
        <rFont val="WenQuanYi Zen Hei"/>
        <family val="2"/>
      </rPr>
      <t xml:space="preserve">月・</t>
    </r>
    <r>
      <rPr>
        <sz val="9"/>
        <rFont val="Arial"/>
        <family val="0"/>
        <charset val="1"/>
      </rPr>
      <t xml:space="preserve">9</t>
    </r>
    <r>
      <rPr>
        <sz val="9"/>
        <rFont val="WenQuanYi Zen Hei"/>
        <family val="2"/>
      </rPr>
      <t xml:space="preserve">月分は未払いのため繰越となっていた分を、今回</t>
    </r>
    <r>
      <rPr>
        <sz val="9"/>
        <rFont val="Arial"/>
        <family val="0"/>
        <charset val="1"/>
      </rPr>
      <t xml:space="preserve">10</t>
    </r>
    <r>
      <rPr>
        <sz val="9"/>
        <rFont val="WenQuanYi Zen Hei"/>
        <family val="2"/>
      </rPr>
      <t xml:space="preserve">月分とあわせてお支払いします。</t>
    </r>
  </si>
  <si>
    <t xml:space="preserve">推薦者コード</t>
  </si>
  <si>
    <t xml:space="preserve">推薦者名</t>
  </si>
  <si>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8</t>
    </r>
    <r>
      <rPr>
        <b val="true"/>
        <sz val="10"/>
        <rFont val="WenQuanYi Zen Hei"/>
        <family val="2"/>
      </rPr>
      <t xml:space="preserve">月分（繰越）</t>
    </r>
  </si>
  <si>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9</t>
    </r>
    <r>
      <rPr>
        <b val="true"/>
        <sz val="10"/>
        <rFont val="WenQuanYi Zen Hei"/>
        <family val="2"/>
      </rPr>
      <t xml:space="preserve">月分（繰越）</t>
    </r>
  </si>
  <si>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WenQuanYi Zen Hei"/>
        <family val="2"/>
      </rPr>
      <t xml:space="preserve">年</t>
    </r>
    <r>
      <rPr>
        <b val="true"/>
        <sz val="10"/>
        <rFont val="Arial"/>
        <family val="0"/>
        <charset val="1"/>
      </rPr>
      <t xml:space="preserve">10</t>
    </r>
    <r>
      <rPr>
        <b val="true"/>
        <sz val="10"/>
        <rFont val="WenQuanYi Zen Hei"/>
        <family val="2"/>
      </rPr>
      <t xml:space="preserve">月分</t>
    </r>
  </si>
  <si>
    <t xml:space="preserve">合計</t>
  </si>
  <si>
    <t xml:space="preserve">手数料</t>
  </si>
  <si>
    <t xml:space="preserve">お支払額</t>
  </si>
  <si>
    <t xml:space="preserve">Yamauchi, So</t>
  </si>
  <si>
    <t xml:space="preserve">Takahashi, Kimika</t>
  </si>
  <si>
    <t xml:space="preserve">Yamashita, Keito</t>
  </si>
  <si>
    <r>
      <rPr>
        <sz val="9"/>
        <rFont val="WenQuanYi Zen Hei"/>
        <family val="2"/>
      </rPr>
      <t xml:space="preserve">※手数料は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人</t>
    </r>
    <r>
      <rPr>
        <sz val="9"/>
        <rFont val="Arial"/>
        <family val="0"/>
        <charset val="1"/>
      </rPr>
      <t xml:space="preserve">1</t>
    </r>
    <r>
      <rPr>
        <sz val="9"/>
        <rFont val="WenQuanYi Zen Hei"/>
        <family val="2"/>
      </rPr>
      <t xml:space="preserve">回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。合計の小数点以下は切り捨て。合計が</t>
    </r>
    <r>
      <rPr>
        <sz val="9"/>
        <rFont val="Arial"/>
        <family val="0"/>
        <charset val="1"/>
      </rPr>
      <t xml:space="preserve">$5</t>
    </r>
    <r>
      <rPr>
        <sz val="9"/>
        <rFont val="WenQuanYi Zen Hei"/>
        <family val="2"/>
      </rPr>
      <t xml:space="preserve">以下の場合は手数料なしで次回繰越。</t>
    </r>
  </si>
  <si>
    <t xml:space="preserve">支払月</t>
  </si>
  <si>
    <t xml:space="preserve">プラン番号</t>
  </si>
  <si>
    <t xml:space="preserve">商品コード</t>
  </si>
  <si>
    <t xml:space="preserve">シーケンス</t>
  </si>
  <si>
    <t xml:space="preserve">契約年数</t>
  </si>
  <si>
    <t xml:space="preserve">拠出金額（月）</t>
  </si>
  <si>
    <t xml:space="preserve">紹介料率</t>
  </si>
  <si>
    <t xml:space="preserve">支払区分</t>
  </si>
  <si>
    <t xml:space="preserve">支払倍率</t>
  </si>
  <si>
    <t xml:space="preserve">2026.8</t>
  </si>
  <si>
    <t xml:space="preserve">T15W081742</t>
  </si>
  <si>
    <t xml:space="preserve">SPX15-X</t>
  </si>
  <si>
    <t xml:space="preserve">基本プラン</t>
  </si>
  <si>
    <t xml:space="preserve">平準</t>
  </si>
  <si>
    <t xml:space="preserve">2026.9</t>
  </si>
  <si>
    <t xml:space="preserve">2026.10</t>
  </si>
  <si>
    <t xml:space="preserve">T15W081363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</si>
</sst>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;\-#,##0.00;\-"/>
    <numFmt numFmtId="166" formatCode="#,##0.00"/>
    <numFmt numFmtId="167" formatCode="0.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WenQuanYi Zen Hei"/>
      <family val="2"/>
    </font>
    <font>
      <sz val="9"/>
      <name val="Arial"/>
      <family val="0"/>
      <charset val="1"/>
    </font>
    <font>
      <sz val="9"/>
      <name val="WenQuanYi Zen Hei"/>
      <family val="2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WenQuanYi Zen He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0"/>
    <col collapsed="false" customWidth="true" hidden="false" outlineLevel="0" max="4" min="3" style="0" width="1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4" t="s">
        <v>5</v>
      </c>
      <c r="E4" s="4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5" t="n">
        <v>1205</v>
      </c>
      <c r="B5" s="5" t="s">
        <v>10</v>
      </c>
      <c r="C5" s="6" t="n">
        <f aca="false">SUMIFS(契約別明細!L:L,契約別明細!A:A,"2026.8",契約別明細!B:B,1205)</f>
        <v>90</v>
      </c>
      <c r="D5" s="6" t="n">
        <f aca="false">SUMIFS(契約別明細!L:L,契約別明細!A:A,"2026.9",契約別明細!B:B,1205)</f>
        <v>90</v>
      </c>
      <c r="E5" s="6" t="n">
        <f aca="false">SUMIFS(契約別明細!L:L,契約別明細!A:A,"2026.10",契約別明細!B:B,1205)</f>
        <v>90</v>
      </c>
      <c r="F5" s="6" t="n">
        <f aca="false">SUM(C5:E5)</f>
        <v>270</v>
      </c>
      <c r="G5" s="6" t="n">
        <v>5</v>
      </c>
      <c r="H5" s="7" t="n">
        <f aca="false">IF(INT(F5)&lt;=G5,0,INT(F5)-G5)</f>
        <v>265</v>
      </c>
    </row>
    <row r="6" customFormat="false" ht="15" hidden="false" customHeight="false" outlineLevel="0" collapsed="false">
      <c r="A6" s="5" t="n">
        <v>1373</v>
      </c>
      <c r="B6" s="5" t="s">
        <v>11</v>
      </c>
      <c r="C6" s="6" t="n">
        <f aca="false">SUMIFS(契約別明細!L:L,契約別明細!A:A,"2026.8",契約別明細!B:B,1373)</f>
        <v>80</v>
      </c>
      <c r="D6" s="6" t="n">
        <f aca="false">SUMIFS(契約別明細!L:L,契約別明細!A:A,"2026.9",契約別明細!B:B,1373)</f>
        <v>80</v>
      </c>
      <c r="E6" s="6" t="n">
        <f aca="false">SUMIFS(契約別明細!L:L,契約別明細!A:A,"2026.10",契約別明細!B:B,1373)</f>
        <v>80</v>
      </c>
      <c r="F6" s="6" t="n">
        <f aca="false">SUM(C6:E6)</f>
        <v>240</v>
      </c>
      <c r="G6" s="6" t="n">
        <v>5</v>
      </c>
      <c r="H6" s="7" t="n">
        <f aca="false">IF(INT(F6)&lt;=G6,0,INT(F6)-G6)</f>
        <v>235</v>
      </c>
    </row>
    <row r="7" customFormat="false" ht="15" hidden="false" customHeight="false" outlineLevel="0" collapsed="false">
      <c r="A7" s="5" t="n">
        <v>1655</v>
      </c>
      <c r="B7" s="5" t="s">
        <v>12</v>
      </c>
      <c r="C7" s="6" t="n">
        <f aca="false">SUMIFS(契約別明細!L:L,契約別明細!A:A,"2026.8",契約別明細!B:B,1655)</f>
        <v>50</v>
      </c>
      <c r="D7" s="6" t="n">
        <f aca="false">SUMIFS(契約別明細!L:L,契約別明細!A:A,"2026.9",契約別明細!B:B,1655)</f>
        <v>50</v>
      </c>
      <c r="E7" s="6" t="n">
        <f aca="false">SUMIFS(契約別明細!L:L,契約別明細!A:A,"2026.10",契約別明細!B:B,1655)</f>
        <v>50</v>
      </c>
      <c r="F7" s="6" t="n">
        <f aca="false">SUM(C7:E7)</f>
        <v>150</v>
      </c>
      <c r="G7" s="6" t="n">
        <v>5</v>
      </c>
      <c r="H7" s="7" t="n">
        <f aca="false">IF(INT(F7)&lt;=G7,0,INT(F7)-G7)</f>
        <v>145</v>
      </c>
    </row>
    <row r="8" customFormat="false" ht="15" hidden="false" customHeight="false" outlineLevel="0" collapsed="false">
      <c r="B8" s="8" t="s">
        <v>7</v>
      </c>
      <c r="C8" s="9" t="n">
        <f aca="false">SUM(C5:C7)</f>
        <v>220</v>
      </c>
      <c r="D8" s="9" t="n">
        <f aca="false">SUM(D5:D7)</f>
        <v>220</v>
      </c>
      <c r="E8" s="9" t="n">
        <f aca="false">SUM(E5:E7)</f>
        <v>220</v>
      </c>
      <c r="F8" s="9" t="n">
        <f aca="false">SUM(F5:F7)</f>
        <v>660</v>
      </c>
      <c r="G8" s="9" t="n">
        <f aca="false">SUM(G5:G7)</f>
        <v>15</v>
      </c>
      <c r="H8" s="7" t="n">
        <f aca="false">SUM(H5:H7)</f>
        <v>645</v>
      </c>
    </row>
    <row r="10" customFormat="false" ht="15" hidden="false" customHeight="false" outlineLevel="0" collapsed="false">
      <c r="A10" s="10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1" min="9" style="0" width="9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3" t="s">
        <v>14</v>
      </c>
      <c r="B1" s="3" t="s">
        <v>2</v>
      </c>
      <c r="C1" s="3" t="s">
        <v>3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9</v>
      </c>
    </row>
    <row r="2" customFormat="false" ht="15" hidden="false" customHeight="false" outlineLevel="0" collapsed="false">
      <c r="A2" s="5" t="s">
        <v>23</v>
      </c>
      <c r="B2" s="5" t="n">
        <v>1205</v>
      </c>
      <c r="C2" s="5" t="s">
        <v>10</v>
      </c>
      <c r="D2" s="5" t="s">
        <v>24</v>
      </c>
      <c r="E2" s="5" t="s">
        <v>25</v>
      </c>
      <c r="F2" s="11" t="s">
        <v>26</v>
      </c>
      <c r="G2" s="5" t="n">
        <v>1</v>
      </c>
      <c r="H2" s="12" t="n">
        <v>200</v>
      </c>
      <c r="I2" s="13" t="n">
        <v>0.45</v>
      </c>
      <c r="J2" s="11" t="s">
        <v>27</v>
      </c>
      <c r="K2" s="5" t="n">
        <v>1</v>
      </c>
      <c r="L2" s="6" t="n">
        <f aca="false">H2*I2*K2</f>
        <v>90</v>
      </c>
    </row>
    <row r="3" customFormat="false" ht="15" hidden="false" customHeight="false" outlineLevel="0" collapsed="false">
      <c r="A3" s="5" t="s">
        <v>28</v>
      </c>
      <c r="B3" s="5" t="n">
        <v>1205</v>
      </c>
      <c r="C3" s="5" t="s">
        <v>10</v>
      </c>
      <c r="D3" s="5" t="s">
        <v>24</v>
      </c>
      <c r="E3" s="5" t="s">
        <v>25</v>
      </c>
      <c r="F3" s="11" t="s">
        <v>26</v>
      </c>
      <c r="G3" s="5" t="n">
        <v>1</v>
      </c>
      <c r="H3" s="12" t="n">
        <v>200</v>
      </c>
      <c r="I3" s="13" t="n">
        <v>0.45</v>
      </c>
      <c r="J3" s="11" t="s">
        <v>27</v>
      </c>
      <c r="K3" s="5" t="n">
        <v>1</v>
      </c>
      <c r="L3" s="6" t="n">
        <f aca="false">H3*I3*K3</f>
        <v>90</v>
      </c>
    </row>
    <row r="4" customFormat="false" ht="15" hidden="false" customHeight="false" outlineLevel="0" collapsed="false">
      <c r="A4" s="5" t="s">
        <v>29</v>
      </c>
      <c r="B4" s="5" t="n">
        <v>1205</v>
      </c>
      <c r="C4" s="5" t="s">
        <v>10</v>
      </c>
      <c r="D4" s="5" t="s">
        <v>24</v>
      </c>
      <c r="E4" s="5" t="s">
        <v>25</v>
      </c>
      <c r="F4" s="11" t="s">
        <v>26</v>
      </c>
      <c r="G4" s="5" t="n">
        <v>1</v>
      </c>
      <c r="H4" s="12" t="n">
        <v>200</v>
      </c>
      <c r="I4" s="13" t="n">
        <v>0.45</v>
      </c>
      <c r="J4" s="11" t="s">
        <v>27</v>
      </c>
      <c r="K4" s="5" t="n">
        <v>1</v>
      </c>
      <c r="L4" s="6" t="n">
        <f aca="false">H4*I4*K4</f>
        <v>90</v>
      </c>
    </row>
    <row r="5" customFormat="false" ht="15" hidden="false" customHeight="false" outlineLevel="0" collapsed="false">
      <c r="A5" s="5" t="s">
        <v>23</v>
      </c>
      <c r="B5" s="5" t="n">
        <v>1373</v>
      </c>
      <c r="C5" s="5" t="s">
        <v>11</v>
      </c>
      <c r="D5" s="5" t="s">
        <v>30</v>
      </c>
      <c r="E5" s="5" t="s">
        <v>25</v>
      </c>
      <c r="F5" s="11" t="s">
        <v>26</v>
      </c>
      <c r="G5" s="5" t="n">
        <v>1</v>
      </c>
      <c r="H5" s="12" t="n">
        <v>200</v>
      </c>
      <c r="I5" s="13" t="n">
        <v>0.4</v>
      </c>
      <c r="J5" s="11" t="s">
        <v>27</v>
      </c>
      <c r="K5" s="5" t="n">
        <v>1</v>
      </c>
      <c r="L5" s="6" t="n">
        <f aca="false">H5*I5*K5</f>
        <v>80</v>
      </c>
    </row>
    <row r="6" customFormat="false" ht="15" hidden="false" customHeight="false" outlineLevel="0" collapsed="false">
      <c r="A6" s="5" t="s">
        <v>28</v>
      </c>
      <c r="B6" s="5" t="n">
        <v>1373</v>
      </c>
      <c r="C6" s="5" t="s">
        <v>11</v>
      </c>
      <c r="D6" s="5" t="s">
        <v>30</v>
      </c>
      <c r="E6" s="5" t="s">
        <v>25</v>
      </c>
      <c r="F6" s="11" t="s">
        <v>26</v>
      </c>
      <c r="G6" s="5" t="n">
        <v>1</v>
      </c>
      <c r="H6" s="12" t="n">
        <v>200</v>
      </c>
      <c r="I6" s="13" t="n">
        <v>0.4</v>
      </c>
      <c r="J6" s="11" t="s">
        <v>27</v>
      </c>
      <c r="K6" s="5" t="n">
        <v>1</v>
      </c>
      <c r="L6" s="6" t="n">
        <f aca="false">H6*I6*K6</f>
        <v>80</v>
      </c>
    </row>
    <row r="7" customFormat="false" ht="15" hidden="false" customHeight="false" outlineLevel="0" collapsed="false">
      <c r="A7" s="5" t="s">
        <v>29</v>
      </c>
      <c r="B7" s="5" t="n">
        <v>1373</v>
      </c>
      <c r="C7" s="5" t="s">
        <v>11</v>
      </c>
      <c r="D7" s="5" t="s">
        <v>30</v>
      </c>
      <c r="E7" s="5" t="s">
        <v>25</v>
      </c>
      <c r="F7" s="11" t="s">
        <v>26</v>
      </c>
      <c r="G7" s="5" t="n">
        <v>1</v>
      </c>
      <c r="H7" s="12" t="n">
        <v>200</v>
      </c>
      <c r="I7" s="13" t="n">
        <v>0.4</v>
      </c>
      <c r="J7" s="11" t="s">
        <v>27</v>
      </c>
      <c r="K7" s="5" t="n">
        <v>1</v>
      </c>
      <c r="L7" s="6" t="n">
        <f aca="false">H7*I7*K7</f>
        <v>80</v>
      </c>
    </row>
    <row r="8" customFormat="false" ht="15" hidden="false" customHeight="false" outlineLevel="0" collapsed="false">
      <c r="A8" s="5" t="s">
        <v>23</v>
      </c>
      <c r="B8" s="5" t="n">
        <v>1655</v>
      </c>
      <c r="C8" s="5" t="s">
        <v>12</v>
      </c>
      <c r="D8" s="5" t="s">
        <v>24</v>
      </c>
      <c r="E8" s="5" t="s">
        <v>25</v>
      </c>
      <c r="F8" s="11" t="s">
        <v>26</v>
      </c>
      <c r="G8" s="5" t="n">
        <v>1</v>
      </c>
      <c r="H8" s="12" t="n">
        <v>200</v>
      </c>
      <c r="I8" s="13" t="n">
        <v>0.1</v>
      </c>
      <c r="J8" s="11" t="s">
        <v>27</v>
      </c>
      <c r="K8" s="5" t="n">
        <v>1</v>
      </c>
      <c r="L8" s="6" t="n">
        <f aca="false">H8*I8*K8</f>
        <v>20</v>
      </c>
    </row>
    <row r="9" customFormat="false" ht="15" hidden="false" customHeight="false" outlineLevel="0" collapsed="false">
      <c r="A9" s="5" t="s">
        <v>23</v>
      </c>
      <c r="B9" s="5" t="n">
        <v>1655</v>
      </c>
      <c r="C9" s="5" t="s">
        <v>12</v>
      </c>
      <c r="D9" s="5" t="s">
        <v>30</v>
      </c>
      <c r="E9" s="5" t="s">
        <v>25</v>
      </c>
      <c r="F9" s="11" t="s">
        <v>26</v>
      </c>
      <c r="G9" s="5" t="n">
        <v>1</v>
      </c>
      <c r="H9" s="12" t="n">
        <v>200</v>
      </c>
      <c r="I9" s="13" t="n">
        <v>0.15</v>
      </c>
      <c r="J9" s="11" t="s">
        <v>27</v>
      </c>
      <c r="K9" s="5" t="n">
        <v>1</v>
      </c>
      <c r="L9" s="6" t="n">
        <f aca="false">H9*I9*K9</f>
        <v>30</v>
      </c>
    </row>
    <row r="10" customFormat="false" ht="15" hidden="false" customHeight="false" outlineLevel="0" collapsed="false">
      <c r="A10" s="5" t="s">
        <v>28</v>
      </c>
      <c r="B10" s="5" t="n">
        <v>1655</v>
      </c>
      <c r="C10" s="5" t="s">
        <v>12</v>
      </c>
      <c r="D10" s="5" t="s">
        <v>30</v>
      </c>
      <c r="E10" s="5" t="s">
        <v>25</v>
      </c>
      <c r="F10" s="11" t="s">
        <v>26</v>
      </c>
      <c r="G10" s="5" t="n">
        <v>1</v>
      </c>
      <c r="H10" s="12" t="n">
        <v>200</v>
      </c>
      <c r="I10" s="13" t="n">
        <v>0.15</v>
      </c>
      <c r="J10" s="11" t="s">
        <v>27</v>
      </c>
      <c r="K10" s="5" t="n">
        <v>1</v>
      </c>
      <c r="L10" s="6" t="n">
        <f aca="false">H10*I10*K10</f>
        <v>30</v>
      </c>
    </row>
    <row r="11" customFormat="false" ht="15" hidden="false" customHeight="false" outlineLevel="0" collapsed="false">
      <c r="A11" s="5" t="s">
        <v>28</v>
      </c>
      <c r="B11" s="5" t="n">
        <v>1655</v>
      </c>
      <c r="C11" s="5" t="s">
        <v>12</v>
      </c>
      <c r="D11" s="5" t="s">
        <v>24</v>
      </c>
      <c r="E11" s="5" t="s">
        <v>25</v>
      </c>
      <c r="F11" s="11" t="s">
        <v>26</v>
      </c>
      <c r="G11" s="5" t="n">
        <v>1</v>
      </c>
      <c r="H11" s="12" t="n">
        <v>200</v>
      </c>
      <c r="I11" s="13" t="n">
        <v>0.1</v>
      </c>
      <c r="J11" s="11" t="s">
        <v>27</v>
      </c>
      <c r="K11" s="5" t="n">
        <v>1</v>
      </c>
      <c r="L11" s="6" t="n">
        <f aca="false">H11*I11*K11</f>
        <v>20</v>
      </c>
    </row>
    <row r="12" customFormat="false" ht="15" hidden="false" customHeight="false" outlineLevel="0" collapsed="false">
      <c r="A12" s="5" t="s">
        <v>29</v>
      </c>
      <c r="B12" s="5" t="n">
        <v>1655</v>
      </c>
      <c r="C12" s="5" t="s">
        <v>12</v>
      </c>
      <c r="D12" s="5" t="s">
        <v>30</v>
      </c>
      <c r="E12" s="5" t="s">
        <v>25</v>
      </c>
      <c r="F12" s="11" t="s">
        <v>26</v>
      </c>
      <c r="G12" s="5" t="n">
        <v>1</v>
      </c>
      <c r="H12" s="12" t="n">
        <v>200</v>
      </c>
      <c r="I12" s="13" t="n">
        <v>0.15</v>
      </c>
      <c r="J12" s="11" t="s">
        <v>27</v>
      </c>
      <c r="K12" s="5" t="n">
        <v>1</v>
      </c>
      <c r="L12" s="6" t="n">
        <f aca="false">H12*I12*K12</f>
        <v>30</v>
      </c>
    </row>
    <row r="13" customFormat="false" ht="15" hidden="false" customHeight="false" outlineLevel="0" collapsed="false">
      <c r="A13" s="5" t="s">
        <v>29</v>
      </c>
      <c r="B13" s="5" t="n">
        <v>1655</v>
      </c>
      <c r="C13" s="5" t="s">
        <v>12</v>
      </c>
      <c r="D13" s="5" t="s">
        <v>24</v>
      </c>
      <c r="E13" s="5" t="s">
        <v>25</v>
      </c>
      <c r="F13" s="11" t="s">
        <v>26</v>
      </c>
      <c r="G13" s="5" t="n">
        <v>1</v>
      </c>
      <c r="H13" s="12" t="n">
        <v>200</v>
      </c>
      <c r="I13" s="13" t="n">
        <v>0.1</v>
      </c>
      <c r="J13" s="11" t="s">
        <v>27</v>
      </c>
      <c r="K13" s="5" t="n">
        <v>1</v>
      </c>
      <c r="L13" s="6" t="n">
        <f aca="false">H13*I13*K13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2026-10-18T15:32:39Z</dcterms:created>
  <dc:creator>openpyxl</dc:creator>
  <dc:description/>
  <dc:language>en-US</dc:language>
  <cp:lastModifiedBy/>
  <dcterms:modified xsi:type="dcterms:W3CDTF">2026-10-18T15:32:39Z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