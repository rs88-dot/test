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0月明細" sheetId="1" state="visible" r:id="rId3"/>
  </sheets>
  <definedNames>
    <definedName function="false" hidden="true" localSheetId="0" name="_xlnm._FilterDatabase" vbProcedure="false">10月明細!$A$10:$M$19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<sst xmlns="http://schemas.openxmlformats.org/spreadsheetml/2006/main" count="77" uniqueCount="45">
  <si>
    <r>
      <rPr>
        <b val="true"/>
        <sz val="13"/>
        <rFont val="WenQuanYi Zen Hei"/>
        <family val="2"/>
      </rPr>
      <t xml:space="preserve">コミッション明細　</t>
    </r>
    <r>
      <rPr>
        <b val="true"/>
        <sz val="13"/>
        <rFont val="Arial"/>
        <family val="0"/>
        <charset val="1"/>
      </rPr>
      <t xml:space="preserve">2026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Arial"/>
        <family val="0"/>
        <charset val="1"/>
      </rPr>
      <t xml:space="preserve">10</t>
    </r>
    <r>
      <rPr>
        <b val="true"/>
        <sz val="13"/>
        <rFont val="WenQuanYi Zen Hei"/>
        <family val="2"/>
      </rPr>
      <t xml:space="preserve">月分</t>
    </r>
  </si>
  <si>
    <t xml:space="preserve">推薦者コード</t>
  </si>
  <si>
    <t xml:space="preserve">推薦者名</t>
  </si>
  <si>
    <t xml:space="preserve">Yon o Pak</t>
  </si>
  <si>
    <r>
      <rPr>
        <b val="true"/>
        <sz val="10"/>
        <rFont val="Arial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月分合計</t>
    </r>
  </si>
  <si>
    <t xml:space="preserve">件数</t>
  </si>
  <si>
    <t xml:space="preserve">手数料</t>
  </si>
  <si>
    <r>
      <rPr>
        <sz val="9"/>
        <rFont val="WenQuanYi Zen Hei"/>
        <family val="2"/>
      </rPr>
      <t xml:space="preserve">※手数料は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人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回</t>
    </r>
    <r>
      <rPr>
        <sz val="9"/>
        <rFont val="Arial"/>
        <family val="0"/>
        <charset val="1"/>
      </rPr>
      <t xml:space="preserve">$5</t>
    </r>
    <r>
      <rPr>
        <sz val="9"/>
        <rFont val="WenQuanYi Zen Hei"/>
        <family val="2"/>
      </rPr>
      <t xml:space="preserve">。合計の小数点以下は切り捨て。合計が</t>
    </r>
    <r>
      <rPr>
        <sz val="9"/>
        <rFont val="Arial"/>
        <family val="0"/>
        <charset val="1"/>
      </rPr>
      <t xml:space="preserve">$5</t>
    </r>
    <r>
      <rPr>
        <sz val="9"/>
        <rFont val="WenQuanYi Zen Hei"/>
        <family val="2"/>
      </rPr>
      <t xml:space="preserve">以下の場合は手数料なしで次回繰越。</t>
    </r>
  </si>
  <si>
    <t xml:space="preserve">今回お支払額</t>
  </si>
  <si>
    <r>
      <rPr>
        <sz val="9"/>
        <rFont val="WenQuanYi Zen Hei"/>
        <family val="2"/>
      </rPr>
      <t xml:space="preserve">※みなし年払い：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年目は</t>
    </r>
    <r>
      <rPr>
        <sz val="9"/>
        <rFont val="Arial"/>
        <family val="0"/>
        <charset val="1"/>
      </rPr>
      <t xml:space="preserve">12</t>
    </r>
    <r>
      <rPr>
        <sz val="9"/>
        <rFont val="WenQuanYi Zen Hei"/>
        <family val="2"/>
      </rPr>
      <t xml:space="preserve">か月分を年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回お支払い（担当者変更の契約は弊社担当の残り月数分）。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年目以降は平準（毎月）。</t>
    </r>
  </si>
  <si>
    <t xml:space="preserve">No</t>
  </si>
  <si>
    <t xml:space="preserve">プラン番号</t>
  </si>
  <si>
    <t xml:space="preserve">お客様名</t>
  </si>
  <si>
    <t xml:space="preserve">商品コード</t>
  </si>
  <si>
    <t xml:space="preserve">シーケンス</t>
  </si>
  <si>
    <t xml:space="preserve">契約年数</t>
  </si>
  <si>
    <t xml:space="preserve">拠出金額（月）</t>
  </si>
  <si>
    <t xml:space="preserve">実質紹介料率</t>
  </si>
  <si>
    <t xml:space="preserve">月額コミッション</t>
  </si>
  <si>
    <t xml:space="preserve">支払区分</t>
  </si>
  <si>
    <t xml:space="preserve">支払倍率（か月分）</t>
  </si>
  <si>
    <t xml:space="preserve">備考</t>
  </si>
  <si>
    <t xml:space="preserve">T15W081546</t>
  </si>
  <si>
    <t xml:space="preserve">Yudai Konishi</t>
  </si>
  <si>
    <t xml:space="preserve">SPX15-X</t>
  </si>
  <si>
    <t xml:space="preserve">基本プラン</t>
  </si>
  <si>
    <t xml:space="preserve">みなし</t>
  </si>
  <si>
    <r>
      <rPr>
        <sz val="10"/>
        <rFont val="Arial"/>
        <family val="0"/>
        <charset val="1"/>
      </rPr>
      <t xml:space="preserve">2026.8</t>
    </r>
    <r>
      <rPr>
        <sz val="10"/>
        <rFont val="WenQuanYi Zen Hei"/>
        <family val="2"/>
      </rPr>
      <t xml:space="preserve">に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か月分お支払い済み（みなし年払いは年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回のため今回は対象外）</t>
    </r>
  </si>
  <si>
    <t xml:space="preserve">T20W044480</t>
  </si>
  <si>
    <t xml:space="preserve">Taeil Lee</t>
  </si>
  <si>
    <t xml:space="preserve">SPX20-X</t>
  </si>
  <si>
    <r>
      <rPr>
        <sz val="10"/>
        <rFont val="Arial"/>
        <family val="0"/>
        <charset val="1"/>
      </rPr>
      <t xml:space="preserve">2026.9</t>
    </r>
    <r>
      <rPr>
        <sz val="10"/>
        <rFont val="WenQuanYi Zen Hei"/>
        <family val="2"/>
      </rPr>
      <t xml:space="preserve">に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か月分お支払い済み（みなし年払いは年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回のため今回は対象外）</t>
    </r>
  </si>
  <si>
    <t xml:space="preserve">T15W082100</t>
  </si>
  <si>
    <t xml:space="preserve">Kyohei Yamamoto</t>
  </si>
  <si>
    <t xml:space="preserve">EVO25</t>
  </si>
  <si>
    <r>
      <rPr>
        <sz val="10"/>
        <rFont val="WenQuanYi Zen Hei"/>
        <family val="2"/>
      </rPr>
      <t xml:space="preserve">ライダー</t>
    </r>
    <r>
      <rPr>
        <sz val="10"/>
        <rFont val="Arial"/>
        <family val="0"/>
        <charset val="1"/>
      </rPr>
      <t xml:space="preserve">1</t>
    </r>
  </si>
  <si>
    <t xml:space="preserve">T15W082662</t>
  </si>
  <si>
    <t xml:space="preserve">Yuki Morioka</t>
  </si>
  <si>
    <r>
      <rPr>
        <sz val="10"/>
        <rFont val="WenQuanYi Zen Hei"/>
        <family val="2"/>
      </rPr>
      <t xml:space="preserve">みなし年払い（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か月分を一括）</t>
    </r>
  </si>
  <si>
    <t xml:space="preserve">T20W044625</t>
  </si>
  <si>
    <t xml:space="preserve">Kota Matsumoto</t>
  </si>
  <si>
    <t xml:space="preserve">T15W065073</t>
  </si>
  <si>
    <t xml:space="preserve">Yuki Takaoka</t>
  </si>
  <si>
    <r>
      <rPr>
        <sz val="10"/>
        <rFont val="WenQuanYi Zen Hei"/>
        <family val="2"/>
      </rPr>
      <t xml:space="preserve">契約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年目のため平準（毎月お支払い）</t>
    </r>
  </si>
  <si>
    <r>
      <rPr>
        <sz val="10"/>
        <rFont val="WenQuanYi Zen Hei"/>
        <family val="2"/>
      </rPr>
      <t xml:space="preserve">ライダー</t>
    </r>
    <r>
      <rPr>
        <sz val="10"/>
        <rFont val="Arial"/>
        <family val="0"/>
        <charset val="1"/>
      </rPr>
      <t xml:space="preserve">2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</si>
</sst>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;\-#,##0.00;\-"/>
    <numFmt numFmtId="166" formatCode="General"/>
    <numFmt numFmtId="167" formatCode="#,##0.00"/>
    <numFmt numFmtId="168" formatCode="0.0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WenQuanYi Zen Hei"/>
      <family val="2"/>
    </font>
    <font>
      <b val="true"/>
      <sz val="13"/>
      <name val="Arial"/>
      <family val="0"/>
      <charset val="1"/>
    </font>
    <font>
      <b val="true"/>
      <sz val="10"/>
      <name val="WenQuanYi Zen Hei"/>
      <family val="2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WenQuanYi Zen Hei"/>
      <family val="2"/>
    </font>
    <font>
      <sz val="9"/>
      <name val="Arial"/>
      <family val="0"/>
      <charset val="1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70"/>
  </cols>
  <sheetData>
    <row r="1" customFormat="false" ht="17.15" hidden="false" customHeight="false" outlineLevel="0" collapsed="false">
      <c r="A1" s="1" t="s">
        <v>0</v>
      </c>
    </row>
    <row r="3" customFormat="false" ht="15" hidden="false" customHeight="false" outlineLevel="0" collapsed="false">
      <c r="B3" s="2" t="s">
        <v>1</v>
      </c>
      <c r="C3" s="3" t="n">
        <v>1769</v>
      </c>
    </row>
    <row r="4" customFormat="false" ht="15" hidden="false" customHeight="false" outlineLevel="0" collapsed="false">
      <c r="B4" s="2" t="s">
        <v>2</v>
      </c>
      <c r="C4" s="3" t="s">
        <v>3</v>
      </c>
    </row>
    <row r="5" customFormat="false" ht="15" hidden="false" customHeight="false" outlineLevel="0" collapsed="false">
      <c r="B5" s="4" t="s">
        <v>4</v>
      </c>
      <c r="C5" s="5" t="n">
        <f aca="false">SUM(L11:L19)</f>
        <v>5297.25</v>
      </c>
      <c r="E5" s="6" t="s">
        <v>5</v>
      </c>
      <c r="F5" s="7" t="n">
        <f aca="false">COUNTA(B11:B19)</f>
        <v>9</v>
      </c>
    </row>
    <row r="6" customFormat="false" ht="15" hidden="false" customHeight="false" outlineLevel="0" collapsed="false">
      <c r="B6" s="2" t="s">
        <v>6</v>
      </c>
      <c r="C6" s="8" t="n">
        <v>5</v>
      </c>
      <c r="E6" s="9" t="s">
        <v>7</v>
      </c>
    </row>
    <row r="7" customFormat="false" ht="15" hidden="false" customHeight="false" outlineLevel="0" collapsed="false">
      <c r="B7" s="2" t="s">
        <v>8</v>
      </c>
      <c r="C7" s="10" t="n">
        <f aca="false">IF(INT(C5)&lt;=C6,0,INT(C5)-C6)</f>
        <v>5292</v>
      </c>
      <c r="E7" s="9" t="s">
        <v>9</v>
      </c>
    </row>
    <row r="10" customFormat="false" ht="39.55" hidden="false" customHeight="false" outlineLevel="0" collapsed="false">
      <c r="A10" s="11" t="s">
        <v>10</v>
      </c>
      <c r="B10" s="12" t="s">
        <v>11</v>
      </c>
      <c r="C10" s="12" t="s">
        <v>12</v>
      </c>
      <c r="D10" s="12" t="s">
        <v>13</v>
      </c>
      <c r="E10" s="12" t="s">
        <v>14</v>
      </c>
      <c r="F10" s="12" t="s">
        <v>15</v>
      </c>
      <c r="G10" s="12" t="s">
        <v>16</v>
      </c>
      <c r="H10" s="12" t="s">
        <v>17</v>
      </c>
      <c r="I10" s="12" t="s">
        <v>18</v>
      </c>
      <c r="J10" s="12" t="s">
        <v>19</v>
      </c>
      <c r="K10" s="12" t="s">
        <v>20</v>
      </c>
      <c r="L10" s="12" t="s">
        <v>8</v>
      </c>
      <c r="M10" s="12" t="s">
        <v>21</v>
      </c>
    </row>
    <row r="11" customFormat="false" ht="15" hidden="false" customHeight="false" outlineLevel="0" collapsed="false">
      <c r="A11" s="3" t="n">
        <v>1</v>
      </c>
      <c r="B11" s="3" t="s">
        <v>22</v>
      </c>
      <c r="C11" s="3" t="s">
        <v>23</v>
      </c>
      <c r="D11" s="3" t="s">
        <v>24</v>
      </c>
      <c r="E11" s="13" t="s">
        <v>25</v>
      </c>
      <c r="F11" s="3" t="n">
        <v>1</v>
      </c>
      <c r="G11" s="14" t="n">
        <v>800</v>
      </c>
      <c r="H11" s="15" t="n">
        <v>0.5</v>
      </c>
      <c r="I11" s="8" t="n">
        <v>400</v>
      </c>
      <c r="J11" s="13" t="s">
        <v>26</v>
      </c>
      <c r="K11" s="3" t="n">
        <v>0</v>
      </c>
      <c r="L11" s="8" t="n">
        <f aca="false">I11*K11</f>
        <v>0</v>
      </c>
      <c r="M11" s="16" t="s">
        <v>27</v>
      </c>
    </row>
    <row r="12" customFormat="false" ht="15" hidden="false" customHeight="false" outlineLevel="0" collapsed="false">
      <c r="A12" s="3" t="n">
        <v>2</v>
      </c>
      <c r="B12" s="3" t="s">
        <v>28</v>
      </c>
      <c r="C12" s="3" t="s">
        <v>29</v>
      </c>
      <c r="D12" s="3" t="s">
        <v>30</v>
      </c>
      <c r="E12" s="13" t="s">
        <v>25</v>
      </c>
      <c r="F12" s="3" t="n">
        <v>1</v>
      </c>
      <c r="G12" s="14" t="n">
        <v>265</v>
      </c>
      <c r="H12" s="15" t="n">
        <v>0.55</v>
      </c>
      <c r="I12" s="8" t="n">
        <v>145.75</v>
      </c>
      <c r="J12" s="13" t="s">
        <v>26</v>
      </c>
      <c r="K12" s="3" t="n">
        <v>0</v>
      </c>
      <c r="L12" s="8" t="n">
        <f aca="false">I12*K12</f>
        <v>0</v>
      </c>
      <c r="M12" s="16" t="s">
        <v>31</v>
      </c>
    </row>
    <row r="13" customFormat="false" ht="15" hidden="false" customHeight="false" outlineLevel="0" collapsed="false">
      <c r="A13" s="3" t="n">
        <v>3</v>
      </c>
      <c r="B13" s="3" t="s">
        <v>32</v>
      </c>
      <c r="C13" s="3" t="s">
        <v>33</v>
      </c>
      <c r="D13" s="3" t="s">
        <v>24</v>
      </c>
      <c r="E13" s="13" t="s">
        <v>25</v>
      </c>
      <c r="F13" s="3" t="n">
        <v>1</v>
      </c>
      <c r="G13" s="14" t="n">
        <v>300</v>
      </c>
      <c r="H13" s="15" t="n">
        <v>0.5</v>
      </c>
      <c r="I13" s="8" t="n">
        <v>150</v>
      </c>
      <c r="J13" s="13" t="s">
        <v>26</v>
      </c>
      <c r="K13" s="3" t="n">
        <v>0</v>
      </c>
      <c r="L13" s="8" t="n">
        <f aca="false">I13*K13</f>
        <v>0</v>
      </c>
      <c r="M13" s="16" t="s">
        <v>31</v>
      </c>
    </row>
    <row r="14" customFormat="false" ht="15" hidden="false" customHeight="false" outlineLevel="0" collapsed="false">
      <c r="A14" s="3" t="n">
        <v>4</v>
      </c>
      <c r="B14" s="3" t="s">
        <v>32</v>
      </c>
      <c r="C14" s="3" t="s">
        <v>33</v>
      </c>
      <c r="D14" s="3" t="s">
        <v>34</v>
      </c>
      <c r="E14" s="13" t="s">
        <v>35</v>
      </c>
      <c r="F14" s="3" t="n">
        <v>1</v>
      </c>
      <c r="G14" s="14" t="n">
        <v>700</v>
      </c>
      <c r="H14" s="15" t="n">
        <v>0.6</v>
      </c>
      <c r="I14" s="8" t="n">
        <v>420</v>
      </c>
      <c r="J14" s="13" t="s">
        <v>26</v>
      </c>
      <c r="K14" s="3" t="n">
        <v>0</v>
      </c>
      <c r="L14" s="8" t="n">
        <f aca="false">I14*K14</f>
        <v>0</v>
      </c>
      <c r="M14" s="16" t="s">
        <v>31</v>
      </c>
    </row>
    <row r="15" customFormat="false" ht="15" hidden="false" customHeight="false" outlineLevel="0" collapsed="false">
      <c r="A15" s="3" t="n">
        <v>5</v>
      </c>
      <c r="B15" s="3" t="s">
        <v>36</v>
      </c>
      <c r="C15" s="3" t="s">
        <v>37</v>
      </c>
      <c r="D15" s="3" t="s">
        <v>24</v>
      </c>
      <c r="E15" s="13" t="s">
        <v>25</v>
      </c>
      <c r="F15" s="3" t="n">
        <v>1</v>
      </c>
      <c r="G15" s="14" t="n">
        <v>800</v>
      </c>
      <c r="H15" s="15" t="n">
        <v>0.55</v>
      </c>
      <c r="I15" s="8" t="n">
        <v>440</v>
      </c>
      <c r="J15" s="13" t="s">
        <v>26</v>
      </c>
      <c r="K15" s="3" t="n">
        <v>12</v>
      </c>
      <c r="L15" s="8" t="n">
        <f aca="false">I15*K15</f>
        <v>5280</v>
      </c>
      <c r="M15" s="17" t="s">
        <v>38</v>
      </c>
    </row>
    <row r="16" customFormat="false" ht="15" hidden="false" customHeight="false" outlineLevel="0" collapsed="false">
      <c r="A16" s="3" t="n">
        <v>6</v>
      </c>
      <c r="B16" s="3" t="s">
        <v>39</v>
      </c>
      <c r="C16" s="3" t="s">
        <v>40</v>
      </c>
      <c r="D16" s="3" t="s">
        <v>30</v>
      </c>
      <c r="E16" s="13" t="s">
        <v>25</v>
      </c>
      <c r="F16" s="3" t="n">
        <v>1</v>
      </c>
      <c r="G16" s="14" t="n">
        <v>265</v>
      </c>
      <c r="H16" s="15" t="n">
        <v>0.55</v>
      </c>
      <c r="I16" s="8" t="n">
        <v>145.75</v>
      </c>
      <c r="J16" s="13" t="s">
        <v>26</v>
      </c>
      <c r="K16" s="3" t="n">
        <v>0</v>
      </c>
      <c r="L16" s="8" t="n">
        <f aca="false">I16*K16</f>
        <v>0</v>
      </c>
      <c r="M16" s="16" t="s">
        <v>31</v>
      </c>
    </row>
    <row r="17" customFormat="false" ht="15" hidden="false" customHeight="false" outlineLevel="0" collapsed="false">
      <c r="A17" s="3" t="n">
        <v>7</v>
      </c>
      <c r="B17" s="3" t="s">
        <v>41</v>
      </c>
      <c r="C17" s="3" t="s">
        <v>42</v>
      </c>
      <c r="D17" s="3" t="s">
        <v>24</v>
      </c>
      <c r="E17" s="13" t="s">
        <v>25</v>
      </c>
      <c r="F17" s="3" t="n">
        <v>3</v>
      </c>
      <c r="G17" s="14" t="n">
        <v>200</v>
      </c>
      <c r="H17" s="15" t="n">
        <v>0.0425</v>
      </c>
      <c r="I17" s="8" t="n">
        <v>8.5</v>
      </c>
      <c r="J17" s="13" t="s">
        <v>26</v>
      </c>
      <c r="K17" s="3" t="n">
        <v>1</v>
      </c>
      <c r="L17" s="8" t="n">
        <f aca="false">I17*K17</f>
        <v>8.5</v>
      </c>
      <c r="M17" s="17" t="s">
        <v>43</v>
      </c>
    </row>
    <row r="18" customFormat="false" ht="15" hidden="false" customHeight="false" outlineLevel="0" collapsed="false">
      <c r="A18" s="3" t="n">
        <v>8</v>
      </c>
      <c r="B18" s="3" t="s">
        <v>41</v>
      </c>
      <c r="C18" s="3" t="s">
        <v>42</v>
      </c>
      <c r="D18" s="3" t="s">
        <v>34</v>
      </c>
      <c r="E18" s="13" t="s">
        <v>35</v>
      </c>
      <c r="F18" s="3" t="n">
        <v>3</v>
      </c>
      <c r="G18" s="14" t="n">
        <v>100</v>
      </c>
      <c r="H18" s="15" t="n">
        <v>0.0875</v>
      </c>
      <c r="I18" s="8" t="n">
        <v>8.75</v>
      </c>
      <c r="J18" s="13" t="s">
        <v>26</v>
      </c>
      <c r="K18" s="3" t="n">
        <v>1</v>
      </c>
      <c r="L18" s="8" t="n">
        <f aca="false">I18*K18</f>
        <v>8.75</v>
      </c>
      <c r="M18" s="17" t="s">
        <v>43</v>
      </c>
    </row>
    <row r="19" customFormat="false" ht="15" hidden="false" customHeight="false" outlineLevel="0" collapsed="false">
      <c r="A19" s="3" t="n">
        <v>9</v>
      </c>
      <c r="B19" s="3" t="s">
        <v>41</v>
      </c>
      <c r="C19" s="3" t="s">
        <v>42</v>
      </c>
      <c r="D19" s="3" t="s">
        <v>34</v>
      </c>
      <c r="E19" s="13" t="s">
        <v>44</v>
      </c>
      <c r="F19" s="3" t="n">
        <v>1</v>
      </c>
      <c r="G19" s="14" t="n">
        <v>300</v>
      </c>
      <c r="H19" s="15" t="n">
        <v>0.6</v>
      </c>
      <c r="I19" s="8" t="n">
        <v>180</v>
      </c>
      <c r="J19" s="13" t="s">
        <v>26</v>
      </c>
      <c r="K19" s="3" t="n">
        <v>0</v>
      </c>
      <c r="L19" s="8" t="n">
        <f aca="false">I19*K19</f>
        <v>0</v>
      </c>
      <c r="M19" s="16" t="s">
        <v>31</v>
      </c>
    </row>
  </sheetData>
  <autoFilter ref="A10:M1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2026-10-19T12:14:02Z</dcterms:created>
  <dc:creator>openpyxl</dc:creator>
  <dc:description/>
  <dc:language>en-US</dc:language>
  <cp:lastModifiedBy/>
  <dcterms:modified xsi:type="dcterms:W3CDTF">2026-10-19T12:14:02Z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