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<sst xmlns="http://schemas.openxmlformats.org/spreadsheetml/2006/main" count="47" uniqueCount="36">
  <si>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</si>
  <si>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</si>
  <si>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</si>
  <si>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Masuda, Mitsuru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</si>
  <si>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</si>
  <si>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</si>
  <si>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</si>
  <si>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</si>
  <si>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</si>
  <si>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</si>
  <si>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</si>
  <si>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</si>
  <si>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</si>
  <si>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</si>
  <si>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</si>
  <si>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</si>
  <si>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</si>
  <si>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</si>
  <si>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</si>
  <si>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</si>
  <si>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</si>
  <si>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</si>
  <si>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T20W044543</t>
  </si>
  <si>
    <t xml:space="preserve">Nobuto Otani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</si>
  <si>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</si>
  <si>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</si>
  <si>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</si>
  <si>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</si>
  <si>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T20W044761</t>
  </si>
  <si>
    <t xml:space="preserve">Mayu Matsumoto</t>
  </si>
  <si>
    <t xml:space="preserve">T20W044436</t>
  </si>
  <si>
    <t xml:space="preserve">Yuzuki Tomita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</si>
  <si>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</si>
  <si>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T20W045151</t>
  </si>
  <si>
    <t xml:space="preserve">Rikuto Hirata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</si>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</sst>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1822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SUM(L11:L14)</f>
        <v>1080</v>
      </c>
      <c r="E5" s="6" t="s">
        <v>5</v>
      </c>
      <c r="F5" s="7" t="n">
        <f aca="false">COUNTA(B11:B14)</f>
        <v>4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1075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</v>
      </c>
      <c r="I11" s="8" t="n">
        <v>90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0.3</v>
      </c>
      <c r="I12" s="8" t="n">
        <v>60</v>
      </c>
      <c r="J12" s="13" t="s">
        <v>26</v>
      </c>
      <c r="K12" s="3" t="n">
        <v>0</v>
      </c>
      <c r="L12" s="8" t="n">
        <f aca="false">I12*K12</f>
        <v>0</v>
      </c>
      <c r="M12" s="16" t="s">
        <v>27</v>
      </c>
    </row>
    <row r="13" customFormat="false" ht="15" hidden="false" customHeight="false" outlineLevel="0" collapsed="false">
      <c r="A13" s="3" t="n">
        <v>3</v>
      </c>
      <c r="B13" s="3" t="s">
        <v>30</v>
      </c>
      <c r="C13" s="3" t="s">
        <v>31</v>
      </c>
      <c r="D13" s="3" t="s">
        <v>24</v>
      </c>
      <c r="E13" s="13" t="s">
        <v>25</v>
      </c>
      <c r="F13" s="3" t="n">
        <v>1</v>
      </c>
      <c r="G13" s="14" t="n">
        <v>200</v>
      </c>
      <c r="H13" s="15" t="n">
        <v>0.3</v>
      </c>
      <c r="I13" s="8" t="n">
        <v>60</v>
      </c>
      <c r="J13" s="13" t="s">
        <v>26</v>
      </c>
      <c r="K13" s="3" t="n">
        <v>0</v>
      </c>
      <c r="L13" s="8" t="n">
        <f aca="false">I13*K13</f>
        <v>0</v>
      </c>
      <c r="M13" s="16" t="s">
        <v>32</v>
      </c>
    </row>
    <row r="14" customFormat="false" ht="15" hidden="false" customHeight="false" outlineLevel="0" collapsed="false">
      <c r="A14" s="3" t="n">
        <v>4</v>
      </c>
      <c r="B14" s="3" t="s">
        <v>33</v>
      </c>
      <c r="C14" s="3" t="s">
        <v>34</v>
      </c>
      <c r="D14" s="3" t="s">
        <v>24</v>
      </c>
      <c r="E14" s="13" t="s">
        <v>25</v>
      </c>
      <c r="F14" s="3" t="n">
        <v>1</v>
      </c>
      <c r="G14" s="14" t="n">
        <v>300</v>
      </c>
      <c r="H14" s="15" t="n">
        <v>0.3</v>
      </c>
      <c r="I14" s="8" t="n">
        <v>90</v>
      </c>
      <c r="J14" s="13" t="s">
        <v>26</v>
      </c>
      <c r="K14" s="3" t="n">
        <v>12</v>
      </c>
      <c r="L14" s="8" t="n">
        <f aca="false">I14*K14</f>
        <v>1080</v>
      </c>
      <c r="M14" s="17" t="s">
        <v>35</v>
      </c>
    </row>
  </sheetData>
  <autoFilter ref="A10:M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