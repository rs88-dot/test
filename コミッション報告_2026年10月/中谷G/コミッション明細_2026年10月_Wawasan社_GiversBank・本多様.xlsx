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まとめ" sheetId="1" state="visible" r:id="rId3"/>
    <sheet name="1291_GiversBank" sheetId="2" state="visible" r:id="rId4"/>
    <sheet name="1681_Ho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<sst xmlns="http://schemas.openxmlformats.org/spreadsheetml/2006/main" count="184" uniqueCount="72">
  <si>
    <r>
      <rPr>
        <b val="true"/>
        <sz val="13"/>
        <rFont val="Arial"/>
        <family val="0"/>
        <charset val="1"/>
      </rPr>
      <t xml:space="preserve">Wawasan</t>
    </r>
    <r>
      <rPr>
        <b val="true"/>
        <sz val="13"/>
        <rFont val="WenQuanYi Zen Hei"/>
        <family val="2"/>
      </rPr>
      <t xml:space="preserve">社　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　（中谷</t>
    </r>
    <r>
      <rPr>
        <b val="true"/>
        <sz val="13"/>
        <rFont val="Arial"/>
        <family val="0"/>
        <charset val="1"/>
      </rPr>
      <t xml:space="preserve">G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Givers Bank</t>
    </r>
    <r>
      <rPr>
        <b val="true"/>
        <sz val="13"/>
        <rFont val="WenQuanYi Zen Hei"/>
        <family val="2"/>
      </rPr>
      <t xml:space="preserve">・本多様）</t>
    </r>
  </si>
  <si>
    <t xml:space="preserve">推薦者コード</t>
  </si>
  <si>
    <t xml:space="preserve">推薦者名</t>
  </si>
  <si>
    <t xml:space="preserve">件数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</si>
  <si>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</si>
  <si>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Givers Bank Co., Ltd.</t>
  </si>
  <si>
    <t xml:space="preserve">Honda, Ryuhei</t>
  </si>
  <si>
    <t xml:space="preserve">合計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</si>
  <si>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回お支払い。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月にお支払い済みのご契約は今回は対象外（</t>
    </r>
    <r>
      <rPr>
        <sz val="9"/>
        <rFont val="Arial"/>
        <family val="0"/>
        <charset val="1"/>
      </rPr>
      <t xml:space="preserve">$0</t>
    </r>
    <r>
      <rPr>
        <sz val="9"/>
        <rFont val="WenQuanYi Zen Hei"/>
        <family val="2"/>
      </rPr>
      <t xml:space="preserve">）として記載。</t>
    </r>
  </si>
  <si>
    <r>
      <rPr>
        <sz val="9"/>
        <rFont val="WenQuanYi Zen Hei"/>
        <family val="2"/>
      </rPr>
      <t xml:space="preserve">※本多様（</t>
    </r>
    <r>
      <rPr>
        <sz val="9"/>
        <rFont val="Arial"/>
        <family val="0"/>
        <charset val="1"/>
      </rPr>
      <t xml:space="preserve">1681</t>
    </r>
    <r>
      <rPr>
        <sz val="9"/>
        <rFont val="WenQuanYi Zen Hei"/>
        <family val="2"/>
      </rPr>
      <t xml:space="preserve">）の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月分は全件お支払い済みのため</t>
    </r>
    <r>
      <rPr>
        <sz val="9"/>
        <rFont val="Arial"/>
        <family val="0"/>
        <charset val="1"/>
      </rPr>
      <t xml:space="preserve">$0</t>
    </r>
    <r>
      <rPr>
        <sz val="9"/>
        <rFont val="WenQuanYi Zen Hei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</si>
  <si>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Wawasan</t>
    </r>
    <r>
      <rPr>
        <b val="true"/>
        <sz val="13"/>
        <rFont val="WenQuanYi Zen Hei"/>
        <family val="2"/>
      </rPr>
      <t xml:space="preserve">社　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　</t>
    </r>
    <r>
      <rPr>
        <b val="true"/>
        <sz val="13"/>
        <rFont val="Arial"/>
        <family val="0"/>
        <charset val="1"/>
      </rPr>
      <t xml:space="preserve">1291 Givers Bank Co., Ltd.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</si>
  <si>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</si>
  <si>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</si>
  <si>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</si>
  <si>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</si>
  <si>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</si>
  <si>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</si>
  <si>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</si>
  <si>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</si>
  <si>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</si>
  <si>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</si>
  <si>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</si>
  <si>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今回お支払額</t>
  </si>
  <si>
    <t xml:space="preserve">備考</t>
  </si>
  <si>
    <t xml:space="preserve">T25W057807</t>
  </si>
  <si>
    <t xml:space="preserve">Tsubasa Otsuka</t>
  </si>
  <si>
    <t xml:space="preserve">EVO25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</si>
  <si>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</si>
  <si>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</si>
  <si>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</si>
  <si>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T25W057839</t>
  </si>
  <si>
    <t xml:space="preserve">Sakura Habazaki</t>
  </si>
  <si>
    <t xml:space="preserve">T25W059020</t>
  </si>
  <si>
    <t xml:space="preserve">Kurumi Takahashi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</si>
  <si>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</si>
  <si>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T25W057722</t>
  </si>
  <si>
    <t xml:space="preserve">Ryosuke Takechi</t>
  </si>
  <si>
    <t xml:space="preserve">T25W057513</t>
  </si>
  <si>
    <t xml:space="preserve">Yuma Oka</t>
  </si>
  <si>
    <t xml:space="preserve">T25W059051</t>
  </si>
  <si>
    <t xml:space="preserve">Daisuke Yamashita</t>
  </si>
  <si>
    <t xml:space="preserve">T25W057633</t>
  </si>
  <si>
    <t xml:space="preserve">Kento Fukunaga</t>
  </si>
  <si>
    <r>
      <rPr>
        <sz val="10"/>
        <rFont val="Arial"/>
        <family val="0"/>
        <charset val="1"/>
      </rPr>
      <t xml:space="preserve">2026.7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</si>
  <si>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T25W058186</t>
  </si>
  <si>
    <t xml:space="preserve">Masaki Yamaguchi</t>
  </si>
  <si>
    <t xml:space="preserve">T25W057631</t>
  </si>
  <si>
    <t xml:space="preserve">Yusuke Kawabe</t>
  </si>
  <si>
    <t xml:space="preserve">T25W058778</t>
  </si>
  <si>
    <t xml:space="preserve">Takami Naiki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</si>
  <si>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</si>
  <si>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T15W081599</t>
  </si>
  <si>
    <t xml:space="preserve">Momoko Tanaka</t>
  </si>
  <si>
    <t xml:space="preserve">SPX15-X</t>
  </si>
  <si>
    <t xml:space="preserve">T25W057841</t>
  </si>
  <si>
    <t xml:space="preserve">Yuma Yamakawa</t>
  </si>
  <si>
    <t xml:space="preserve">T10W018511</t>
  </si>
  <si>
    <t xml:space="preserve">Shinji Yamanaka</t>
  </si>
  <si>
    <t xml:space="preserve">SPX10-X</t>
  </si>
  <si>
    <t xml:space="preserve">T20W044479</t>
  </si>
  <si>
    <t xml:space="preserve">Takeshi Tsuji</t>
  </si>
  <si>
    <t xml:space="preserve">SPX20-X</t>
  </si>
  <si>
    <t xml:space="preserve">T25W057720</t>
  </si>
  <si>
    <t xml:space="preserve">Yu Ito</t>
  </si>
  <si>
    <t xml:space="preserve">T20W044567</t>
  </si>
  <si>
    <t xml:space="preserve">Kyosuke Saito</t>
  </si>
  <si>
    <t xml:space="preserve">T25W058611</t>
  </si>
  <si>
    <t xml:space="preserve">T20W044740</t>
  </si>
  <si>
    <t xml:space="preserve">Keisuke Saito</t>
  </si>
  <si>
    <t xml:space="preserve">T20W044405</t>
  </si>
  <si>
    <t xml:space="preserve">Yuki Iwami</t>
  </si>
  <si>
    <r>
      <rPr>
        <b val="true"/>
        <sz val="13"/>
        <rFont val="Arial"/>
        <family val="0"/>
        <charset val="1"/>
      </rPr>
      <t xml:space="preserve">Wawasan</t>
    </r>
    <r>
      <rPr>
        <b val="true"/>
        <sz val="13"/>
        <rFont val="WenQuanYi Zen Hei"/>
        <family val="2"/>
      </rPr>
      <t xml:space="preserve">社　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　</t>
    </r>
    <r>
      <rPr>
        <b val="true"/>
        <sz val="13"/>
        <rFont val="Arial"/>
        <family val="0"/>
        <charset val="1"/>
      </rPr>
      <t xml:space="preserve">1681 Honda, Ryuhei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</si>
</sst>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-#,##0.00;\-"/>
    <numFmt numFmtId="166" formatCode="#,##0.00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4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3" t="s">
        <v>4</v>
      </c>
    </row>
    <row r="4" customFormat="false" ht="15" hidden="false" customHeight="false" outlineLevel="0" collapsed="false">
      <c r="A4" s="4" t="n">
        <v>1291</v>
      </c>
      <c r="B4" s="4" t="s">
        <v>5</v>
      </c>
      <c r="C4" s="4" t="n">
        <f aca="false">COUNTA(1291_GiversBank!B4:B23)</f>
        <v>20</v>
      </c>
      <c r="D4" s="5" t="n">
        <f aca="false">1291_GiversBank!L24</f>
        <v>1980</v>
      </c>
    </row>
    <row r="5" customFormat="false" ht="15" hidden="false" customHeight="false" outlineLevel="0" collapsed="false">
      <c r="A5" s="4" t="n">
        <v>1681</v>
      </c>
      <c r="B5" s="4" t="s">
        <v>6</v>
      </c>
      <c r="C5" s="4" t="n">
        <f aca="false">COUNTA(1681_Honda!B4:B7)</f>
        <v>4</v>
      </c>
      <c r="D5" s="5" t="n">
        <f aca="false">1681_Honda!L8</f>
        <v>0</v>
      </c>
    </row>
    <row r="6" customFormat="false" ht="15" hidden="false" customHeight="false" outlineLevel="0" collapsed="false">
      <c r="B6" s="6" t="s">
        <v>7</v>
      </c>
      <c r="C6" s="6" t="n">
        <f aca="false">SUM(C4:C5)</f>
        <v>24</v>
      </c>
      <c r="D6" s="7" t="n">
        <f aca="false">SUM(D4:D5)</f>
        <v>1980</v>
      </c>
    </row>
    <row r="8" customFormat="false" ht="15" hidden="false" customHeight="false" outlineLevel="0" collapsed="false">
      <c r="A8" s="8" t="s">
        <v>8</v>
      </c>
    </row>
    <row r="9" customFormat="false" ht="15" hidden="false" customHeight="false" outlineLevel="0" collapsed="false">
      <c r="A9" s="8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62"/>
  </cols>
  <sheetData>
    <row r="1" customFormat="false" ht="17.15" hidden="false" customHeight="false" outlineLevel="0" collapsed="false">
      <c r="A1" s="1" t="s">
        <v>10</v>
      </c>
    </row>
    <row r="3" customFormat="false" ht="26.85" hidden="false" customHeight="false" outlineLevel="0" collapsed="false">
      <c r="A3" s="9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10" t="s">
        <v>19</v>
      </c>
      <c r="J3" s="10" t="s">
        <v>20</v>
      </c>
      <c r="K3" s="10" t="s">
        <v>21</v>
      </c>
      <c r="L3" s="10" t="s">
        <v>22</v>
      </c>
      <c r="M3" s="10" t="s">
        <v>23</v>
      </c>
    </row>
    <row r="4" customFormat="false" ht="26.85" hidden="false" customHeight="false" outlineLevel="0" collapsed="false">
      <c r="A4" s="4" t="n">
        <v>1</v>
      </c>
      <c r="B4" s="4" t="s">
        <v>24</v>
      </c>
      <c r="C4" s="4" t="s">
        <v>25</v>
      </c>
      <c r="D4" s="4" t="s">
        <v>26</v>
      </c>
      <c r="E4" s="11" t="s">
        <v>27</v>
      </c>
      <c r="F4" s="4" t="n">
        <v>1</v>
      </c>
      <c r="G4" s="12" t="n">
        <v>450</v>
      </c>
      <c r="H4" s="13" t="n">
        <v>0.55</v>
      </c>
      <c r="I4" s="5" t="n">
        <v>247.5</v>
      </c>
      <c r="J4" s="11" t="s">
        <v>28</v>
      </c>
      <c r="K4" s="4" t="n">
        <v>0</v>
      </c>
      <c r="L4" s="5" t="n">
        <f aca="false">I4*K4</f>
        <v>0</v>
      </c>
      <c r="M4" s="14" t="s">
        <v>29</v>
      </c>
    </row>
    <row r="5" customFormat="false" ht="26.85" hidden="false" customHeight="false" outlineLevel="0" collapsed="false">
      <c r="A5" s="4" t="n">
        <v>2</v>
      </c>
      <c r="B5" s="4" t="s">
        <v>30</v>
      </c>
      <c r="C5" s="4" t="s">
        <v>31</v>
      </c>
      <c r="D5" s="4" t="s">
        <v>26</v>
      </c>
      <c r="E5" s="11" t="s">
        <v>27</v>
      </c>
      <c r="F5" s="4" t="n">
        <v>1</v>
      </c>
      <c r="G5" s="12" t="n">
        <v>180</v>
      </c>
      <c r="H5" s="13" t="n">
        <v>0.55</v>
      </c>
      <c r="I5" s="5" t="n">
        <v>99</v>
      </c>
      <c r="J5" s="11" t="s">
        <v>28</v>
      </c>
      <c r="K5" s="4" t="n">
        <v>0</v>
      </c>
      <c r="L5" s="5" t="n">
        <f aca="false">I5*K5</f>
        <v>0</v>
      </c>
      <c r="M5" s="14" t="s">
        <v>29</v>
      </c>
    </row>
    <row r="6" customFormat="false" ht="15" hidden="false" customHeight="false" outlineLevel="0" collapsed="false">
      <c r="A6" s="4" t="n">
        <v>3</v>
      </c>
      <c r="B6" s="4" t="s">
        <v>32</v>
      </c>
      <c r="C6" s="4" t="s">
        <v>33</v>
      </c>
      <c r="D6" s="4" t="s">
        <v>26</v>
      </c>
      <c r="E6" s="11" t="s">
        <v>27</v>
      </c>
      <c r="F6" s="4" t="n">
        <v>1</v>
      </c>
      <c r="G6" s="12" t="n">
        <v>150</v>
      </c>
      <c r="H6" s="13" t="n">
        <v>0.55</v>
      </c>
      <c r="I6" s="5" t="n">
        <v>82.5</v>
      </c>
      <c r="J6" s="11" t="s">
        <v>28</v>
      </c>
      <c r="K6" s="4" t="n">
        <v>12</v>
      </c>
      <c r="L6" s="5" t="n">
        <f aca="false">I6*K6</f>
        <v>990</v>
      </c>
      <c r="M6" s="15" t="s">
        <v>34</v>
      </c>
    </row>
    <row r="7" customFormat="false" ht="26.85" hidden="false" customHeight="false" outlineLevel="0" collapsed="false">
      <c r="A7" s="4" t="n">
        <v>4</v>
      </c>
      <c r="B7" s="4" t="s">
        <v>35</v>
      </c>
      <c r="C7" s="4" t="s">
        <v>36</v>
      </c>
      <c r="D7" s="4" t="s">
        <v>26</v>
      </c>
      <c r="E7" s="11" t="s">
        <v>27</v>
      </c>
      <c r="F7" s="4" t="n">
        <v>1</v>
      </c>
      <c r="G7" s="12" t="n">
        <v>300</v>
      </c>
      <c r="H7" s="13" t="n">
        <v>0.55</v>
      </c>
      <c r="I7" s="5" t="n">
        <v>165</v>
      </c>
      <c r="J7" s="11" t="s">
        <v>28</v>
      </c>
      <c r="K7" s="4" t="n">
        <v>0</v>
      </c>
      <c r="L7" s="5" t="n">
        <f aca="false">I7*K7</f>
        <v>0</v>
      </c>
      <c r="M7" s="14" t="s">
        <v>29</v>
      </c>
    </row>
    <row r="8" customFormat="false" ht="26.85" hidden="false" customHeight="false" outlineLevel="0" collapsed="false">
      <c r="A8" s="4" t="n">
        <v>5</v>
      </c>
      <c r="B8" s="4" t="s">
        <v>37</v>
      </c>
      <c r="C8" s="4" t="s">
        <v>38</v>
      </c>
      <c r="D8" s="4" t="s">
        <v>26</v>
      </c>
      <c r="E8" s="11" t="s">
        <v>27</v>
      </c>
      <c r="F8" s="4" t="n">
        <v>1</v>
      </c>
      <c r="G8" s="12" t="n">
        <v>450</v>
      </c>
      <c r="H8" s="13" t="n">
        <v>0.55</v>
      </c>
      <c r="I8" s="5" t="n">
        <v>247.5</v>
      </c>
      <c r="J8" s="11" t="s">
        <v>28</v>
      </c>
      <c r="K8" s="4" t="n">
        <v>0</v>
      </c>
      <c r="L8" s="5" t="n">
        <f aca="false">I8*K8</f>
        <v>0</v>
      </c>
      <c r="M8" s="14" t="s">
        <v>29</v>
      </c>
    </row>
    <row r="9" customFormat="false" ht="15" hidden="false" customHeight="false" outlineLevel="0" collapsed="false">
      <c r="A9" s="4" t="n">
        <v>6</v>
      </c>
      <c r="B9" s="4" t="s">
        <v>39</v>
      </c>
      <c r="C9" s="4" t="s">
        <v>40</v>
      </c>
      <c r="D9" s="4" t="s">
        <v>26</v>
      </c>
      <c r="E9" s="11" t="s">
        <v>27</v>
      </c>
      <c r="F9" s="4" t="n">
        <v>1</v>
      </c>
      <c r="G9" s="12" t="n">
        <v>150</v>
      </c>
      <c r="H9" s="13" t="n">
        <v>0.55</v>
      </c>
      <c r="I9" s="5" t="n">
        <v>82.5</v>
      </c>
      <c r="J9" s="11" t="s">
        <v>28</v>
      </c>
      <c r="K9" s="4" t="n">
        <v>12</v>
      </c>
      <c r="L9" s="5" t="n">
        <f aca="false">I9*K9</f>
        <v>990</v>
      </c>
      <c r="M9" s="15" t="s">
        <v>34</v>
      </c>
    </row>
    <row r="10" customFormat="false" ht="26.85" hidden="false" customHeight="false" outlineLevel="0" collapsed="false">
      <c r="A10" s="4" t="n">
        <v>7</v>
      </c>
      <c r="B10" s="4" t="s">
        <v>41</v>
      </c>
      <c r="C10" s="4" t="s">
        <v>42</v>
      </c>
      <c r="D10" s="4" t="s">
        <v>26</v>
      </c>
      <c r="E10" s="11" t="s">
        <v>27</v>
      </c>
      <c r="F10" s="4" t="n">
        <v>1</v>
      </c>
      <c r="G10" s="12" t="n">
        <v>150</v>
      </c>
      <c r="H10" s="13" t="n">
        <v>0.55</v>
      </c>
      <c r="I10" s="5" t="n">
        <v>82.5</v>
      </c>
      <c r="J10" s="11" t="s">
        <v>28</v>
      </c>
      <c r="K10" s="4" t="n">
        <v>0</v>
      </c>
      <c r="L10" s="5" t="n">
        <f aca="false">I10*K10</f>
        <v>0</v>
      </c>
      <c r="M10" s="14" t="s">
        <v>43</v>
      </c>
    </row>
    <row r="11" customFormat="false" ht="26.85" hidden="false" customHeight="false" outlineLevel="0" collapsed="false">
      <c r="A11" s="4" t="n">
        <v>8</v>
      </c>
      <c r="B11" s="4" t="s">
        <v>44</v>
      </c>
      <c r="C11" s="4" t="s">
        <v>45</v>
      </c>
      <c r="D11" s="4" t="s">
        <v>26</v>
      </c>
      <c r="E11" s="11" t="s">
        <v>27</v>
      </c>
      <c r="F11" s="4" t="n">
        <v>1</v>
      </c>
      <c r="G11" s="12" t="n">
        <v>150</v>
      </c>
      <c r="H11" s="13" t="n">
        <v>0.55</v>
      </c>
      <c r="I11" s="5" t="n">
        <v>82.5</v>
      </c>
      <c r="J11" s="11" t="s">
        <v>28</v>
      </c>
      <c r="K11" s="4" t="n">
        <v>0</v>
      </c>
      <c r="L11" s="5" t="n">
        <f aca="false">I11*K11</f>
        <v>0</v>
      </c>
      <c r="M11" s="14" t="s">
        <v>29</v>
      </c>
    </row>
    <row r="12" customFormat="false" ht="26.85" hidden="false" customHeight="false" outlineLevel="0" collapsed="false">
      <c r="A12" s="4" t="n">
        <v>9</v>
      </c>
      <c r="B12" s="4" t="s">
        <v>46</v>
      </c>
      <c r="C12" s="4" t="s">
        <v>47</v>
      </c>
      <c r="D12" s="4" t="s">
        <v>26</v>
      </c>
      <c r="E12" s="11" t="s">
        <v>27</v>
      </c>
      <c r="F12" s="4" t="n">
        <v>1</v>
      </c>
      <c r="G12" s="12" t="n">
        <v>300</v>
      </c>
      <c r="H12" s="13" t="n">
        <v>0.55</v>
      </c>
      <c r="I12" s="5" t="n">
        <v>165</v>
      </c>
      <c r="J12" s="11" t="s">
        <v>28</v>
      </c>
      <c r="K12" s="4" t="n">
        <v>0</v>
      </c>
      <c r="L12" s="5" t="n">
        <f aca="false">I12*K12</f>
        <v>0</v>
      </c>
      <c r="M12" s="14" t="s">
        <v>43</v>
      </c>
    </row>
    <row r="13" customFormat="false" ht="26.85" hidden="false" customHeight="false" outlineLevel="0" collapsed="false">
      <c r="A13" s="4" t="n">
        <v>10</v>
      </c>
      <c r="B13" s="4" t="s">
        <v>41</v>
      </c>
      <c r="C13" s="4" t="s">
        <v>42</v>
      </c>
      <c r="D13" s="4" t="s">
        <v>26</v>
      </c>
      <c r="E13" s="11" t="s">
        <v>27</v>
      </c>
      <c r="F13" s="4" t="n">
        <v>1</v>
      </c>
      <c r="G13" s="12" t="n">
        <v>150</v>
      </c>
      <c r="H13" s="13" t="n">
        <v>0.55</v>
      </c>
      <c r="I13" s="5" t="n">
        <v>82.5</v>
      </c>
      <c r="J13" s="11" t="s">
        <v>28</v>
      </c>
      <c r="K13" s="4" t="n">
        <v>0</v>
      </c>
      <c r="L13" s="5" t="n">
        <f aca="false">I13*K13</f>
        <v>0</v>
      </c>
      <c r="M13" s="14" t="s">
        <v>43</v>
      </c>
    </row>
    <row r="14" customFormat="false" ht="26.85" hidden="false" customHeight="false" outlineLevel="0" collapsed="false">
      <c r="A14" s="4" t="n">
        <v>11</v>
      </c>
      <c r="B14" s="4" t="s">
        <v>48</v>
      </c>
      <c r="C14" s="4" t="s">
        <v>49</v>
      </c>
      <c r="D14" s="4" t="s">
        <v>26</v>
      </c>
      <c r="E14" s="11" t="s">
        <v>27</v>
      </c>
      <c r="F14" s="4" t="n">
        <v>1</v>
      </c>
      <c r="G14" s="12" t="n">
        <v>150</v>
      </c>
      <c r="H14" s="13" t="n">
        <v>0.55</v>
      </c>
      <c r="I14" s="5" t="n">
        <v>82.5</v>
      </c>
      <c r="J14" s="11" t="s">
        <v>28</v>
      </c>
      <c r="K14" s="4" t="n">
        <v>0</v>
      </c>
      <c r="L14" s="5" t="n">
        <f aca="false">I14*K14</f>
        <v>0</v>
      </c>
      <c r="M14" s="14" t="s">
        <v>50</v>
      </c>
    </row>
    <row r="15" customFormat="false" ht="26.85" hidden="false" customHeight="false" outlineLevel="0" collapsed="false">
      <c r="A15" s="4" t="n">
        <v>12</v>
      </c>
      <c r="B15" s="4" t="s">
        <v>51</v>
      </c>
      <c r="C15" s="4" t="s">
        <v>52</v>
      </c>
      <c r="D15" s="4" t="s">
        <v>53</v>
      </c>
      <c r="E15" s="11" t="s">
        <v>27</v>
      </c>
      <c r="F15" s="4" t="n">
        <v>1</v>
      </c>
      <c r="G15" s="12" t="n">
        <v>200</v>
      </c>
      <c r="H15" s="13" t="n">
        <v>0.45</v>
      </c>
      <c r="I15" s="5" t="n">
        <v>90</v>
      </c>
      <c r="J15" s="11" t="s">
        <v>28</v>
      </c>
      <c r="K15" s="4" t="n">
        <v>0</v>
      </c>
      <c r="L15" s="5" t="n">
        <f aca="false">I15*K15</f>
        <v>0</v>
      </c>
      <c r="M15" s="14" t="s">
        <v>29</v>
      </c>
    </row>
    <row r="16" customFormat="false" ht="26.85" hidden="false" customHeight="false" outlineLevel="0" collapsed="false">
      <c r="A16" s="4" t="n">
        <v>13</v>
      </c>
      <c r="B16" s="4" t="s">
        <v>54</v>
      </c>
      <c r="C16" s="4" t="s">
        <v>55</v>
      </c>
      <c r="D16" s="4" t="s">
        <v>26</v>
      </c>
      <c r="E16" s="11" t="s">
        <v>27</v>
      </c>
      <c r="F16" s="4" t="n">
        <v>1</v>
      </c>
      <c r="G16" s="12" t="n">
        <v>150</v>
      </c>
      <c r="H16" s="13" t="n">
        <v>0.55</v>
      </c>
      <c r="I16" s="5" t="n">
        <v>82.5</v>
      </c>
      <c r="J16" s="11" t="s">
        <v>28</v>
      </c>
      <c r="K16" s="4" t="n">
        <v>0</v>
      </c>
      <c r="L16" s="5" t="n">
        <f aca="false">I16*K16</f>
        <v>0</v>
      </c>
      <c r="M16" s="14" t="s">
        <v>43</v>
      </c>
    </row>
    <row r="17" customFormat="false" ht="26.85" hidden="false" customHeight="false" outlineLevel="0" collapsed="false">
      <c r="A17" s="4" t="n">
        <v>14</v>
      </c>
      <c r="B17" s="4" t="s">
        <v>56</v>
      </c>
      <c r="C17" s="4" t="s">
        <v>57</v>
      </c>
      <c r="D17" s="4" t="s">
        <v>58</v>
      </c>
      <c r="E17" s="11" t="s">
        <v>27</v>
      </c>
      <c r="F17" s="4" t="n">
        <v>1</v>
      </c>
      <c r="G17" s="12" t="n">
        <v>520</v>
      </c>
      <c r="H17" s="13" t="n">
        <v>0.21</v>
      </c>
      <c r="I17" s="5" t="n">
        <v>109.2</v>
      </c>
      <c r="J17" s="11" t="s">
        <v>28</v>
      </c>
      <c r="K17" s="4" t="n">
        <v>0</v>
      </c>
      <c r="L17" s="5" t="n">
        <f aca="false">I17*K17</f>
        <v>0</v>
      </c>
      <c r="M17" s="14" t="s">
        <v>29</v>
      </c>
    </row>
    <row r="18" customFormat="false" ht="26.85" hidden="false" customHeight="false" outlineLevel="0" collapsed="false">
      <c r="A18" s="4" t="n">
        <v>15</v>
      </c>
      <c r="B18" s="4" t="s">
        <v>59</v>
      </c>
      <c r="C18" s="4" t="s">
        <v>60</v>
      </c>
      <c r="D18" s="4" t="s">
        <v>61</v>
      </c>
      <c r="E18" s="11" t="s">
        <v>27</v>
      </c>
      <c r="F18" s="4" t="n">
        <v>1</v>
      </c>
      <c r="G18" s="12" t="n">
        <v>200</v>
      </c>
      <c r="H18" s="13" t="n">
        <v>0.5</v>
      </c>
      <c r="I18" s="5" t="n">
        <v>100</v>
      </c>
      <c r="J18" s="11" t="s">
        <v>28</v>
      </c>
      <c r="K18" s="4" t="n">
        <v>0</v>
      </c>
      <c r="L18" s="5" t="n">
        <f aca="false">I18*K18</f>
        <v>0</v>
      </c>
      <c r="M18" s="14" t="s">
        <v>50</v>
      </c>
    </row>
    <row r="19" customFormat="false" ht="26.85" hidden="false" customHeight="false" outlineLevel="0" collapsed="false">
      <c r="A19" s="4" t="n">
        <v>16</v>
      </c>
      <c r="B19" s="4" t="s">
        <v>62</v>
      </c>
      <c r="C19" s="4" t="s">
        <v>63</v>
      </c>
      <c r="D19" s="4" t="s">
        <v>26</v>
      </c>
      <c r="E19" s="11" t="s">
        <v>27</v>
      </c>
      <c r="F19" s="4" t="n">
        <v>1</v>
      </c>
      <c r="G19" s="12" t="n">
        <v>300</v>
      </c>
      <c r="H19" s="13" t="n">
        <v>0.55</v>
      </c>
      <c r="I19" s="5" t="n">
        <v>165</v>
      </c>
      <c r="J19" s="11" t="s">
        <v>28</v>
      </c>
      <c r="K19" s="4" t="n">
        <v>0</v>
      </c>
      <c r="L19" s="5" t="n">
        <f aca="false">I19*K19</f>
        <v>0</v>
      </c>
      <c r="M19" s="14" t="s">
        <v>43</v>
      </c>
    </row>
    <row r="20" customFormat="false" ht="26.85" hidden="false" customHeight="false" outlineLevel="0" collapsed="false">
      <c r="A20" s="4" t="n">
        <v>17</v>
      </c>
      <c r="B20" s="4" t="s">
        <v>64</v>
      </c>
      <c r="C20" s="4" t="s">
        <v>65</v>
      </c>
      <c r="D20" s="4" t="s">
        <v>61</v>
      </c>
      <c r="E20" s="11" t="s">
        <v>27</v>
      </c>
      <c r="F20" s="4" t="n">
        <v>1</v>
      </c>
      <c r="G20" s="12" t="n">
        <v>200</v>
      </c>
      <c r="H20" s="13" t="n">
        <v>0.15</v>
      </c>
      <c r="I20" s="5" t="n">
        <v>30</v>
      </c>
      <c r="J20" s="11" t="s">
        <v>28</v>
      </c>
      <c r="K20" s="4" t="n">
        <v>0</v>
      </c>
      <c r="L20" s="5" t="n">
        <f aca="false">I20*K20</f>
        <v>0</v>
      </c>
      <c r="M20" s="14" t="s">
        <v>50</v>
      </c>
    </row>
    <row r="21" customFormat="false" ht="26.85" hidden="false" customHeight="false" outlineLevel="0" collapsed="false">
      <c r="A21" s="4" t="n">
        <v>18</v>
      </c>
      <c r="B21" s="4" t="s">
        <v>66</v>
      </c>
      <c r="C21" s="4" t="s">
        <v>65</v>
      </c>
      <c r="D21" s="4" t="s">
        <v>26</v>
      </c>
      <c r="E21" s="11" t="s">
        <v>27</v>
      </c>
      <c r="F21" s="4" t="n">
        <v>1</v>
      </c>
      <c r="G21" s="12" t="n">
        <v>100</v>
      </c>
      <c r="H21" s="13" t="n">
        <v>0.15</v>
      </c>
      <c r="I21" s="5" t="n">
        <v>15</v>
      </c>
      <c r="J21" s="11" t="s">
        <v>28</v>
      </c>
      <c r="K21" s="4" t="n">
        <v>0</v>
      </c>
      <c r="L21" s="5" t="n">
        <f aca="false">I21*K21</f>
        <v>0</v>
      </c>
      <c r="M21" s="14" t="s">
        <v>50</v>
      </c>
    </row>
    <row r="22" customFormat="false" ht="26.85" hidden="false" customHeight="false" outlineLevel="0" collapsed="false">
      <c r="A22" s="4" t="n">
        <v>19</v>
      </c>
      <c r="B22" s="4" t="s">
        <v>67</v>
      </c>
      <c r="C22" s="4" t="s">
        <v>68</v>
      </c>
      <c r="D22" s="4" t="s">
        <v>61</v>
      </c>
      <c r="E22" s="11" t="s">
        <v>27</v>
      </c>
      <c r="F22" s="4" t="n">
        <v>1</v>
      </c>
      <c r="G22" s="12" t="n">
        <v>265</v>
      </c>
      <c r="H22" s="13" t="n">
        <v>0.15</v>
      </c>
      <c r="I22" s="5" t="n">
        <v>39.75</v>
      </c>
      <c r="J22" s="11" t="s">
        <v>28</v>
      </c>
      <c r="K22" s="4" t="n">
        <v>0</v>
      </c>
      <c r="L22" s="5" t="n">
        <f aca="false">I22*K22</f>
        <v>0</v>
      </c>
      <c r="M22" s="14" t="s">
        <v>50</v>
      </c>
    </row>
    <row r="23" customFormat="false" ht="26.85" hidden="false" customHeight="false" outlineLevel="0" collapsed="false">
      <c r="A23" s="4" t="n">
        <v>20</v>
      </c>
      <c r="B23" s="4" t="s">
        <v>69</v>
      </c>
      <c r="C23" s="4" t="s">
        <v>70</v>
      </c>
      <c r="D23" s="4" t="s">
        <v>61</v>
      </c>
      <c r="E23" s="11" t="s">
        <v>27</v>
      </c>
      <c r="F23" s="4" t="n">
        <v>1</v>
      </c>
      <c r="G23" s="12" t="n">
        <v>265</v>
      </c>
      <c r="H23" s="13" t="n">
        <v>0.15</v>
      </c>
      <c r="I23" s="5" t="n">
        <v>39.75</v>
      </c>
      <c r="J23" s="11" t="s">
        <v>28</v>
      </c>
      <c r="K23" s="4" t="n">
        <v>0</v>
      </c>
      <c r="L23" s="5" t="n">
        <f aca="false">I23*K23</f>
        <v>0</v>
      </c>
      <c r="M23" s="14" t="s">
        <v>50</v>
      </c>
    </row>
    <row r="24" customFormat="false" ht="15" hidden="false" customHeight="false" outlineLevel="0" collapsed="false">
      <c r="K24" s="6" t="s">
        <v>7</v>
      </c>
      <c r="L24" s="7" t="n">
        <f aca="false">SUM(L4:L23)</f>
        <v>1980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62"/>
  </cols>
  <sheetData>
    <row r="1" customFormat="false" ht="17.15" hidden="false" customHeight="false" outlineLevel="0" collapsed="false">
      <c r="A1" s="1" t="s">
        <v>71</v>
      </c>
    </row>
    <row r="3" customFormat="false" ht="26.85" hidden="false" customHeight="false" outlineLevel="0" collapsed="false">
      <c r="A3" s="9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10" t="s">
        <v>19</v>
      </c>
      <c r="J3" s="10" t="s">
        <v>20</v>
      </c>
      <c r="K3" s="10" t="s">
        <v>21</v>
      </c>
      <c r="L3" s="10" t="s">
        <v>22</v>
      </c>
      <c r="M3" s="10" t="s">
        <v>23</v>
      </c>
    </row>
    <row r="4" customFormat="false" ht="26.85" hidden="false" customHeight="false" outlineLevel="0" collapsed="false">
      <c r="A4" s="4" t="n">
        <v>1</v>
      </c>
      <c r="B4" s="4" t="s">
        <v>64</v>
      </c>
      <c r="C4" s="4" t="s">
        <v>65</v>
      </c>
      <c r="D4" s="4" t="s">
        <v>61</v>
      </c>
      <c r="E4" s="11" t="s">
        <v>27</v>
      </c>
      <c r="F4" s="4" t="n">
        <v>1</v>
      </c>
      <c r="G4" s="12" t="n">
        <v>200</v>
      </c>
      <c r="H4" s="13" t="n">
        <v>0.35</v>
      </c>
      <c r="I4" s="5" t="n">
        <v>70</v>
      </c>
      <c r="J4" s="11" t="s">
        <v>28</v>
      </c>
      <c r="K4" s="4" t="n">
        <v>0</v>
      </c>
      <c r="L4" s="5" t="n">
        <f aca="false">I4*K4</f>
        <v>0</v>
      </c>
      <c r="M4" s="14" t="s">
        <v>50</v>
      </c>
    </row>
    <row r="5" customFormat="false" ht="26.85" hidden="false" customHeight="false" outlineLevel="0" collapsed="false">
      <c r="A5" s="4" t="n">
        <v>2</v>
      </c>
      <c r="B5" s="4" t="s">
        <v>66</v>
      </c>
      <c r="C5" s="4" t="s">
        <v>65</v>
      </c>
      <c r="D5" s="4" t="s">
        <v>26</v>
      </c>
      <c r="E5" s="11" t="s">
        <v>27</v>
      </c>
      <c r="F5" s="4" t="n">
        <v>1</v>
      </c>
      <c r="G5" s="12" t="n">
        <v>100</v>
      </c>
      <c r="H5" s="13" t="n">
        <v>0.4</v>
      </c>
      <c r="I5" s="5" t="n">
        <v>40</v>
      </c>
      <c r="J5" s="11" t="s">
        <v>28</v>
      </c>
      <c r="K5" s="4" t="n">
        <v>0</v>
      </c>
      <c r="L5" s="5" t="n">
        <f aca="false">I5*K5</f>
        <v>0</v>
      </c>
      <c r="M5" s="14" t="s">
        <v>50</v>
      </c>
    </row>
    <row r="6" customFormat="false" ht="26.85" hidden="false" customHeight="false" outlineLevel="0" collapsed="false">
      <c r="A6" s="4" t="n">
        <v>3</v>
      </c>
      <c r="B6" s="4" t="s">
        <v>67</v>
      </c>
      <c r="C6" s="4" t="s">
        <v>68</v>
      </c>
      <c r="D6" s="4" t="s">
        <v>61</v>
      </c>
      <c r="E6" s="11" t="s">
        <v>27</v>
      </c>
      <c r="F6" s="4" t="n">
        <v>1</v>
      </c>
      <c r="G6" s="12" t="n">
        <v>265</v>
      </c>
      <c r="H6" s="13" t="n">
        <v>0.35</v>
      </c>
      <c r="I6" s="5" t="n">
        <v>92.75</v>
      </c>
      <c r="J6" s="11" t="s">
        <v>28</v>
      </c>
      <c r="K6" s="4" t="n">
        <v>0</v>
      </c>
      <c r="L6" s="5" t="n">
        <f aca="false">I6*K6</f>
        <v>0</v>
      </c>
      <c r="M6" s="14" t="s">
        <v>50</v>
      </c>
    </row>
    <row r="7" customFormat="false" ht="26.85" hidden="false" customHeight="false" outlineLevel="0" collapsed="false">
      <c r="A7" s="4" t="n">
        <v>4</v>
      </c>
      <c r="B7" s="4" t="s">
        <v>69</v>
      </c>
      <c r="C7" s="4" t="s">
        <v>70</v>
      </c>
      <c r="D7" s="4" t="s">
        <v>61</v>
      </c>
      <c r="E7" s="11" t="s">
        <v>27</v>
      </c>
      <c r="F7" s="4" t="n">
        <v>1</v>
      </c>
      <c r="G7" s="12" t="n">
        <v>265</v>
      </c>
      <c r="H7" s="13" t="n">
        <v>0.35</v>
      </c>
      <c r="I7" s="5" t="n">
        <v>92.75</v>
      </c>
      <c r="J7" s="11" t="s">
        <v>28</v>
      </c>
      <c r="K7" s="4" t="n">
        <v>0</v>
      </c>
      <c r="L7" s="5" t="n">
        <f aca="false">I7*K7</f>
        <v>0</v>
      </c>
      <c r="M7" s="14" t="s">
        <v>50</v>
      </c>
    </row>
    <row r="8" customFormat="false" ht="15" hidden="false" customHeight="false" outlineLevel="0" collapsed="false">
      <c r="K8" s="6" t="s">
        <v>7</v>
      </c>
      <c r="L8" s="7" t="n">
        <f aca="false">SUM(L4:L7)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2026-10-18T15:15:55Z</dcterms:created>
  <dc:creator>openpyxl</dc:creator>
  <dc:description/>
  <dc:language>en-US</dc:language>
  <cp:lastModifiedBy/>
  <dcterms:modified xsi:type="dcterms:W3CDTF">2026-10-18T15:15:55Z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