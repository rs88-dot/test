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10月明細" sheetId="1" state="visible" r:id="rId3"/>
  </sheets>
  <definedNames>
    <definedName function="false" hidden="true" localSheetId="0" name="_xlnm._FilterDatabase" vbProcedure="false">10月明細!$A$10:$M$11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<sst xmlns="http://schemas.openxmlformats.org/spreadsheetml/2006/main" count="29" uniqueCount="28">
  <si>
    <r>
      <rPr>
        <b val="true"/>
        <sz val="13"/>
        <rFont val="WenQuanYi Zen Hei"/>
        <family val="2"/>
      </rPr>
      <t xml:space="preserve">コミッション明細　</t>
    </r>
    <r>
      <rPr>
        <b val="true"/>
        <sz val="13"/>
        <rFont val="Arial"/>
        <family val="0"/>
        <charset val="1"/>
      </rPr>
      <t xml:space="preserve">2026</t>
    </r>
    <r>
      <rPr>
        <b val="true"/>
        <sz val="13"/>
        <rFont val="WenQuanYi Zen Hei"/>
        <family val="2"/>
      </rPr>
      <t xml:space="preserve">年</t>
    </r>
    <r>
      <rPr>
        <b val="true"/>
        <sz val="13"/>
        <rFont val="Arial"/>
        <family val="0"/>
        <charset val="1"/>
      </rPr>
      <t xml:space="preserve">10</t>
    </r>
    <r>
      <rPr>
        <b val="true"/>
        <sz val="13"/>
        <rFont val="WenQuanYi Zen Hei"/>
        <family val="2"/>
      </rPr>
      <t xml:space="preserve">月分</t>
    </r>
  </si>
  <si>
    <t xml:space="preserve">推薦者コード</t>
  </si>
  <si>
    <t xml:space="preserve">推薦者名</t>
  </si>
  <si>
    <t xml:space="preserve">Ishikawa, Yuka</t>
  </si>
  <si>
    <r>
      <rPr>
        <b val="true"/>
        <sz val="10"/>
        <rFont val="Arial"/>
        <family val="0"/>
        <charset val="1"/>
      </rPr>
      <t xml:space="preserve">10</t>
    </r>
    <r>
      <rPr>
        <b val="true"/>
        <sz val="10"/>
        <rFont val="WenQuanYi Zen Hei"/>
        <family val="2"/>
      </rPr>
      <t xml:space="preserve">月分合計</t>
    </r>
  </si>
  <si>
    <t xml:space="preserve">件数</t>
  </si>
  <si>
    <t xml:space="preserve">手数料</t>
  </si>
  <si>
    <r>
      <rPr>
        <sz val="9"/>
        <rFont val="WenQuanYi Zen Hei"/>
        <family val="2"/>
      </rPr>
      <t xml:space="preserve">※手数料は</t>
    </r>
    <r>
      <rPr>
        <sz val="9"/>
        <rFont val="Arial"/>
        <family val="0"/>
        <charset val="1"/>
      </rPr>
      <t xml:space="preserve">1</t>
    </r>
    <r>
      <rPr>
        <sz val="9"/>
        <rFont val="WenQuanYi Zen Hei"/>
        <family val="2"/>
      </rPr>
      <t xml:space="preserve">人</t>
    </r>
    <r>
      <rPr>
        <sz val="9"/>
        <rFont val="Arial"/>
        <family val="0"/>
        <charset val="1"/>
      </rPr>
      <t xml:space="preserve">1</t>
    </r>
    <r>
      <rPr>
        <sz val="9"/>
        <rFont val="WenQuanYi Zen Hei"/>
        <family val="2"/>
      </rPr>
      <t xml:space="preserve">回</t>
    </r>
    <r>
      <rPr>
        <sz val="9"/>
        <rFont val="Arial"/>
        <family val="0"/>
        <charset val="1"/>
      </rPr>
      <t xml:space="preserve">$5</t>
    </r>
    <r>
      <rPr>
        <sz val="9"/>
        <rFont val="WenQuanYi Zen Hei"/>
        <family val="2"/>
      </rPr>
      <t xml:space="preserve">。合計の小数点以下は切り捨て。合計が</t>
    </r>
    <r>
      <rPr>
        <sz val="9"/>
        <rFont val="Arial"/>
        <family val="0"/>
        <charset val="1"/>
      </rPr>
      <t xml:space="preserve">$5</t>
    </r>
    <r>
      <rPr>
        <sz val="9"/>
        <rFont val="WenQuanYi Zen Hei"/>
        <family val="2"/>
      </rPr>
      <t xml:space="preserve">以下の場合は手数料なしで次回繰越。</t>
    </r>
  </si>
  <si>
    <t xml:space="preserve">今回お支払額</t>
  </si>
  <si>
    <r>
      <rPr>
        <sz val="9"/>
        <rFont val="WenQuanYi Zen Hei"/>
        <family val="2"/>
      </rPr>
      <t xml:space="preserve">※みなし年払い：</t>
    </r>
    <r>
      <rPr>
        <sz val="9"/>
        <rFont val="Arial"/>
        <family val="0"/>
        <charset val="1"/>
      </rPr>
      <t xml:space="preserve">1</t>
    </r>
    <r>
      <rPr>
        <sz val="9"/>
        <rFont val="WenQuanYi Zen Hei"/>
        <family val="2"/>
      </rPr>
      <t xml:space="preserve">年目は</t>
    </r>
    <r>
      <rPr>
        <sz val="9"/>
        <rFont val="Arial"/>
        <family val="0"/>
        <charset val="1"/>
      </rPr>
      <t xml:space="preserve">12</t>
    </r>
    <r>
      <rPr>
        <sz val="9"/>
        <rFont val="WenQuanYi Zen Hei"/>
        <family val="2"/>
      </rPr>
      <t xml:space="preserve">か月分を年</t>
    </r>
    <r>
      <rPr>
        <sz val="9"/>
        <rFont val="Arial"/>
        <family val="0"/>
        <charset val="1"/>
      </rPr>
      <t xml:space="preserve">1</t>
    </r>
    <r>
      <rPr>
        <sz val="9"/>
        <rFont val="WenQuanYi Zen Hei"/>
        <family val="2"/>
      </rPr>
      <t xml:space="preserve">回お支払い（担当者変更の契約は弊社担当の残り月数分）。</t>
    </r>
    <r>
      <rPr>
        <sz val="9"/>
        <rFont val="Arial"/>
        <family val="0"/>
        <charset val="1"/>
      </rPr>
      <t xml:space="preserve">2</t>
    </r>
    <r>
      <rPr>
        <sz val="9"/>
        <rFont val="WenQuanYi Zen Hei"/>
        <family val="2"/>
      </rPr>
      <t xml:space="preserve">年目以降は平準（毎月）。</t>
    </r>
  </si>
  <si>
    <t xml:space="preserve">No</t>
  </si>
  <si>
    <t xml:space="preserve">プラン番号</t>
  </si>
  <si>
    <t xml:space="preserve">お客様名</t>
  </si>
  <si>
    <t xml:space="preserve">商品コード</t>
  </si>
  <si>
    <t xml:space="preserve">シーケンス</t>
  </si>
  <si>
    <t xml:space="preserve">契約年数</t>
  </si>
  <si>
    <t xml:space="preserve">拠出金額（月）</t>
  </si>
  <si>
    <t xml:space="preserve">実質紹介料率</t>
  </si>
  <si>
    <t xml:space="preserve">月額コミッション</t>
  </si>
  <si>
    <t xml:space="preserve">支払区分</t>
  </si>
  <si>
    <t xml:space="preserve">支払倍率（か月分）</t>
  </si>
  <si>
    <t xml:space="preserve">備考</t>
  </si>
  <si>
    <t xml:space="preserve">T25W059382</t>
  </si>
  <si>
    <t xml:space="preserve">Eiri Matsumoto</t>
  </si>
  <si>
    <t xml:space="preserve">EVO25</t>
  </si>
  <si>
    <t xml:space="preserve">基本プラン</t>
  </si>
  <si>
    <t xml:space="preserve">みなし</t>
  </si>
  <si>
    <r>
      <rPr>
        <sz val="10"/>
        <rFont val="WenQuanYi Zen Hei"/>
        <family val="2"/>
      </rPr>
      <t xml:space="preserve">みなし年払い（</t>
    </r>
    <r>
      <rPr>
        <sz val="10"/>
        <rFont val="Arial"/>
        <family val="0"/>
        <charset val="1"/>
      </rPr>
      <t xml:space="preserve">12</t>
    </r>
    <r>
      <rPr>
        <sz val="10"/>
        <rFont val="WenQuanYi Zen Hei"/>
        <family val="2"/>
      </rPr>
      <t xml:space="preserve">か月分を一括）</t>
    </r>
  </si>
</sst>
</file>

<file path=xl/styles.xml><?xml version="1.0" encoding="utf-8"?>
<styleSheet xmlns="http://schemas.openxmlformats.org/spreadsheetml/2006/main">
  <numFmts count="5">
    <numFmt numFmtId="164" formatCode="General"/>
    <numFmt numFmtId="165" formatCode="#,##0.00;\-#,##0.00;\-"/>
    <numFmt numFmtId="166" formatCode="General"/>
    <numFmt numFmtId="167" formatCode="#,##0.00"/>
    <numFmt numFmtId="168" formatCode="0.00%"/>
  </numFmts>
  <fonts count="12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3"/>
      <name val="WenQuanYi Zen Hei"/>
      <family val="2"/>
    </font>
    <font>
      <b val="true"/>
      <sz val="13"/>
      <name val="Arial"/>
      <family val="0"/>
      <charset val="1"/>
    </font>
    <font>
      <b val="true"/>
      <sz val="10"/>
      <name val="WenQuanYi Zen Hei"/>
      <family val="2"/>
    </font>
    <font>
      <sz val="10"/>
      <name val="Arial"/>
      <family val="0"/>
      <charset val="1"/>
    </font>
    <font>
      <b val="true"/>
      <sz val="10"/>
      <name val="Arial"/>
      <family val="0"/>
      <charset val="1"/>
    </font>
    <font>
      <sz val="9"/>
      <name val="WenQuanYi Zen Hei"/>
      <family val="2"/>
    </font>
    <font>
      <sz val="9"/>
      <name val="Arial"/>
      <family val="0"/>
      <charset val="1"/>
    </font>
    <font>
      <sz val="10"/>
      <name val="WenQuanYi Zen Hei"/>
      <family val="2"/>
    </font>
  </fonts>
  <fills count="4">
    <fill>
      <patternFill patternType="none"/>
    </fill>
    <fill>
      <patternFill patternType="gray125"/>
    </fill>
    <fill>
      <patternFill patternType="solid">
        <fgColor rgb="FFD9E1F2"/>
        <bgColor rgb="FFCCFFFF"/>
      </patternFill>
    </fill>
    <fill>
      <patternFill patternType="solid">
        <fgColor rgb="FFFFF2CC"/>
        <bgColor rgb="FFFFFFFF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7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8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2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6" fillId="2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11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1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2">
    <dxf>
      <fill>
        <patternFill patternType="solid">
          <fgColor rgb="FFD9E1F2"/>
          <bgColor rgb="FF000000"/>
        </patternFill>
      </fill>
    </dxf>
    <dxf>
      <fill>
        <patternFill patternType="solid"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D9E1F2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11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10" topLeftCell="A11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"/>
    <col collapsed="false" customWidth="true" hidden="false" outlineLevel="0" max="2" min="2" style="0" width="13"/>
    <col collapsed="false" customWidth="true" hidden="false" outlineLevel="0" max="3" min="3" style="0" width="20"/>
    <col collapsed="false" customWidth="true" hidden="false" outlineLevel="0" max="4" min="4" style="0" width="10"/>
    <col collapsed="false" customWidth="true" hidden="false" outlineLevel="0" max="5" min="5" style="0" width="11"/>
    <col collapsed="false" customWidth="true" hidden="false" outlineLevel="0" max="6" min="6" style="0" width="8"/>
    <col collapsed="false" customWidth="true" hidden="false" outlineLevel="0" max="7" min="7" style="0" width="12"/>
    <col collapsed="false" customWidth="true" hidden="false" outlineLevel="0" max="8" min="8" style="0" width="11"/>
    <col collapsed="false" customWidth="true" hidden="false" outlineLevel="0" max="9" min="9" style="0" width="13"/>
    <col collapsed="false" customWidth="true" hidden="false" outlineLevel="0" max="10" min="10" style="0" width="9"/>
    <col collapsed="false" customWidth="true" hidden="false" outlineLevel="0" max="11" min="11" style="0" width="11"/>
    <col collapsed="false" customWidth="true" hidden="false" outlineLevel="0" max="12" min="12" style="0" width="13"/>
    <col collapsed="false" customWidth="true" hidden="false" outlineLevel="0" max="13" min="13" style="0" width="70"/>
  </cols>
  <sheetData>
    <row r="1" customFormat="false" ht="17.15" hidden="false" customHeight="false" outlineLevel="0" collapsed="false">
      <c r="A1" s="1" t="s">
        <v>0</v>
      </c>
    </row>
    <row r="3" customFormat="false" ht="15" hidden="false" customHeight="false" outlineLevel="0" collapsed="false">
      <c r="B3" s="2" t="s">
        <v>1</v>
      </c>
      <c r="C3" s="3" t="n">
        <v>1526</v>
      </c>
    </row>
    <row r="4" customFormat="false" ht="15" hidden="false" customHeight="false" outlineLevel="0" collapsed="false">
      <c r="B4" s="2" t="s">
        <v>2</v>
      </c>
      <c r="C4" s="3" t="s">
        <v>3</v>
      </c>
    </row>
    <row r="5" customFormat="false" ht="15" hidden="false" customHeight="false" outlineLevel="0" collapsed="false">
      <c r="B5" s="4" t="s">
        <v>4</v>
      </c>
      <c r="C5" s="5" t="n">
        <f aca="false">SUM(L11:L11)</f>
        <v>1260</v>
      </c>
      <c r="E5" s="6" t="s">
        <v>5</v>
      </c>
      <c r="F5" s="7" t="n">
        <f aca="false">COUNTA(B11:B11)</f>
        <v>1</v>
      </c>
    </row>
    <row r="6" customFormat="false" ht="15" hidden="false" customHeight="false" outlineLevel="0" collapsed="false">
      <c r="B6" s="2" t="s">
        <v>6</v>
      </c>
      <c r="C6" s="8" t="n">
        <v>5</v>
      </c>
      <c r="E6" s="9" t="s">
        <v>7</v>
      </c>
    </row>
    <row r="7" customFormat="false" ht="15" hidden="false" customHeight="false" outlineLevel="0" collapsed="false">
      <c r="B7" s="2" t="s">
        <v>8</v>
      </c>
      <c r="C7" s="10" t="n">
        <f aca="false">IF(INT(C5)&lt;=C6,0,INT(C5)-C6)</f>
        <v>1255</v>
      </c>
      <c r="E7" s="9" t="s">
        <v>9</v>
      </c>
    </row>
    <row r="10" customFormat="false" ht="39.55" hidden="false" customHeight="false" outlineLevel="0" collapsed="false">
      <c r="A10" s="11" t="s">
        <v>10</v>
      </c>
      <c r="B10" s="12" t="s">
        <v>11</v>
      </c>
      <c r="C10" s="12" t="s">
        <v>12</v>
      </c>
      <c r="D10" s="12" t="s">
        <v>13</v>
      </c>
      <c r="E10" s="12" t="s">
        <v>14</v>
      </c>
      <c r="F10" s="12" t="s">
        <v>15</v>
      </c>
      <c r="G10" s="12" t="s">
        <v>16</v>
      </c>
      <c r="H10" s="12" t="s">
        <v>17</v>
      </c>
      <c r="I10" s="12" t="s">
        <v>18</v>
      </c>
      <c r="J10" s="12" t="s">
        <v>19</v>
      </c>
      <c r="K10" s="12" t="s">
        <v>20</v>
      </c>
      <c r="L10" s="12" t="s">
        <v>8</v>
      </c>
      <c r="M10" s="12" t="s">
        <v>21</v>
      </c>
    </row>
    <row r="11" customFormat="false" ht="15" hidden="false" customHeight="false" outlineLevel="0" collapsed="false">
      <c r="A11" s="3" t="n">
        <v>1</v>
      </c>
      <c r="B11" s="3" t="s">
        <v>22</v>
      </c>
      <c r="C11" s="3" t="s">
        <v>23</v>
      </c>
      <c r="D11" s="3" t="s">
        <v>24</v>
      </c>
      <c r="E11" s="13" t="s">
        <v>25</v>
      </c>
      <c r="F11" s="3" t="n">
        <v>1</v>
      </c>
      <c r="G11" s="14" t="n">
        <v>300</v>
      </c>
      <c r="H11" s="15" t="n">
        <v>0.35</v>
      </c>
      <c r="I11" s="8" t="n">
        <v>105</v>
      </c>
      <c r="J11" s="13" t="s">
        <v>26</v>
      </c>
      <c r="K11" s="3" t="n">
        <v>12</v>
      </c>
      <c r="L11" s="8" t="n">
        <f aca="false">I11*K11</f>
        <v>1260</v>
      </c>
      <c r="M11" s="16" t="s">
        <v>27</v>
      </c>
    </row>
  </sheetData>
  <autoFilter ref="A10:M11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2026-10-19T12:14:02Z</dcterms:created>
  <dc:creator>openpyxl</dc:creator>
  <dc:description/>
  <dc:language>en-US</dc:language>
  <cp:lastModifiedBy/>
  <dcterms:modified xsi:type="dcterms:W3CDTF">2026-10-19T12:14:02Z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