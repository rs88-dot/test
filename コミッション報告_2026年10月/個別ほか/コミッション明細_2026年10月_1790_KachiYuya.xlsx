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0月明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<sst xmlns="http://schemas.openxmlformats.org/spreadsheetml/2006/main" count="43" uniqueCount="37">
  <si>
    <r>
      <rPr>
        <b val="true"/>
        <sz val="13"/>
        <rFont val="Arial"/>
        <family val="0"/>
        <charset val="1"/>
      </rPr>
      <t xml:space="preserve">Wawasan</t>
    </r>
    <r>
      <rPr>
        <b val="true"/>
        <sz val="13"/>
        <rFont val="WenQuanYi Zen Hei"/>
        <family val="2"/>
      </rPr>
      <t xml:space="preserve">社　コミッション明細　</t>
    </r>
    <r>
      <rPr>
        <b val="true"/>
        <sz val="13"/>
        <rFont val="Arial"/>
        <family val="0"/>
        <charset val="1"/>
      </rPr>
      <t xml:space="preserve">2026</t>
    </r>
    <r>
      <rPr>
        <b val="true"/>
        <sz val="13"/>
        <rFont val="WenQuanYi Zen Hei"/>
        <family val="2"/>
      </rPr>
      <t xml:space="preserve">年</t>
    </r>
    <r>
      <rPr>
        <b val="true"/>
        <sz val="13"/>
        <rFont val="Arial"/>
        <family val="0"/>
        <charset val="1"/>
      </rPr>
      <t xml:space="preserve">10</t>
    </r>
    <r>
      <rPr>
        <b val="true"/>
        <sz val="13"/>
        <rFont val="WenQuanYi Zen Hei"/>
        <family val="2"/>
      </rPr>
      <t xml:space="preserve">月分</t>
    </r>
  </si>
  <si>
    <t xml:space="preserve">推薦者コード</t>
  </si>
  <si>
    <r>
      <rPr>
        <sz val="9"/>
        <rFont val="WenQuanYi Zen Hei"/>
        <family val="2"/>
      </rPr>
      <t xml:space="preserve">※手数料は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人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回</t>
    </r>
    <r>
      <rPr>
        <sz val="9"/>
        <rFont val="Arial"/>
        <family val="0"/>
        <charset val="1"/>
      </rPr>
      <t xml:space="preserve">$5</t>
    </r>
    <r>
      <rPr>
        <sz val="9"/>
        <rFont val="WenQuanYi Zen Hei"/>
        <family val="2"/>
      </rPr>
      <t xml:space="preserve">。合計の小数点以下は切り捨て。合計が</t>
    </r>
    <r>
      <rPr>
        <sz val="9"/>
        <rFont val="Arial"/>
        <family val="0"/>
        <charset val="1"/>
      </rPr>
      <t xml:space="preserve">$5</t>
    </r>
    <r>
      <rPr>
        <sz val="9"/>
        <rFont val="WenQuanYi Zen Hei"/>
        <family val="2"/>
      </rPr>
      <t xml:space="preserve">以下の場合は手数料なしで次回繰越。</t>
    </r>
  </si>
  <si>
    <t xml:space="preserve">推薦者名</t>
  </si>
  <si>
    <t xml:space="preserve">Kachi,Yuya</t>
  </si>
  <si>
    <r>
      <rPr>
        <sz val="9"/>
        <rFont val="WenQuanYi Zen Hei"/>
        <family val="2"/>
      </rPr>
      <t xml:space="preserve">※みなし年払い：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年目は</t>
    </r>
    <r>
      <rPr>
        <sz val="9"/>
        <rFont val="Arial"/>
        <family val="0"/>
        <charset val="1"/>
      </rPr>
      <t xml:space="preserve">12</t>
    </r>
    <r>
      <rPr>
        <sz val="9"/>
        <rFont val="WenQuanYi Zen Hei"/>
        <family val="2"/>
      </rPr>
      <t xml:space="preserve">か月分を年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回お支払い。お支払い済みのご契約は今回は対象外（</t>
    </r>
    <r>
      <rPr>
        <sz val="9"/>
        <rFont val="Arial"/>
        <family val="0"/>
        <charset val="1"/>
      </rPr>
      <t xml:space="preserve">$0</t>
    </r>
    <r>
      <rPr>
        <sz val="9"/>
        <rFont val="WenQuanYi Zen Hei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</si>
  <si>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月分</t>
    </r>
  </si>
  <si>
    <t xml:space="preserve">前月までの未払い（繰越）</t>
  </si>
  <si>
    <t xml:space="preserve">合計</t>
  </si>
  <si>
    <t xml:space="preserve">手数料</t>
  </si>
  <si>
    <t xml:space="preserve">今回お支払額</t>
  </si>
  <si>
    <t xml:space="preserve">支払月</t>
  </si>
  <si>
    <t xml:space="preserve">No</t>
  </si>
  <si>
    <t xml:space="preserve">プラン番号</t>
  </si>
  <si>
    <t xml:space="preserve">お客様名</t>
  </si>
  <si>
    <t xml:space="preserve">商品コード</t>
  </si>
  <si>
    <t xml:space="preserve">シーケンス</t>
  </si>
  <si>
    <t xml:space="preserve">契約年数</t>
  </si>
  <si>
    <t xml:space="preserve">拠出金額（月）</t>
  </si>
  <si>
    <t xml:space="preserve">実質紹介料率</t>
  </si>
  <si>
    <t xml:space="preserve">月額コミッション</t>
  </si>
  <si>
    <t xml:space="preserve">支払区分</t>
  </si>
  <si>
    <t xml:space="preserve">支払倍率（か月分）</t>
  </si>
  <si>
    <t xml:space="preserve">お支払額</t>
  </si>
  <si>
    <t xml:space="preserve">備考</t>
  </si>
  <si>
    <r>
      <rPr>
        <b val="true"/>
        <sz val="10"/>
        <rFont val="Arial"/>
        <family val="0"/>
        <charset val="1"/>
      </rPr>
      <t xml:space="preserve">■ 2026</t>
    </r>
    <r>
      <rPr>
        <b val="true"/>
        <sz val="10"/>
        <rFont val="WenQuanYi Zen Hei"/>
        <family val="2"/>
      </rPr>
      <t xml:space="preserve">年</t>
    </r>
    <r>
      <rPr>
        <b val="true"/>
        <sz val="10"/>
        <rFont val="Arial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月分</t>
    </r>
  </si>
  <si>
    <t xml:space="preserve">2026.10</t>
  </si>
  <si>
    <t xml:space="preserve">T20W044477</t>
  </si>
  <si>
    <t xml:space="preserve">Ryota Inaba</t>
  </si>
  <si>
    <t xml:space="preserve">SPX20-X</t>
  </si>
  <si>
    <t xml:space="preserve">基本プラン</t>
  </si>
  <si>
    <t xml:space="preserve">みなし</t>
  </si>
  <si>
    <r>
      <rPr>
        <sz val="10"/>
        <rFont val="Arial"/>
        <family val="0"/>
        <charset val="1"/>
      </rPr>
      <t xml:space="preserve">2026.9</t>
    </r>
    <r>
      <rPr>
        <sz val="10"/>
        <rFont val="WenQuanYi Zen Hei"/>
        <family val="2"/>
      </rPr>
      <t xml:space="preserve">に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か月分お支払い済み（みなし年払いは年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回のため今回は対象外）</t>
    </r>
  </si>
  <si>
    <t xml:space="preserve">小計</t>
  </si>
  <si>
    <r>
      <rPr>
        <b val="true"/>
        <sz val="10"/>
        <rFont val="WenQuanYi Zen Hei"/>
        <family val="2"/>
      </rPr>
      <t xml:space="preserve">■ 前月までの未払い分（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WenQuanYi Zen Hei"/>
        <family val="2"/>
      </rPr>
      <t xml:space="preserve">年</t>
    </r>
    <r>
      <rPr>
        <b val="true"/>
        <sz val="10"/>
        <rFont val="Arial"/>
        <family val="0"/>
        <charset val="1"/>
      </rPr>
      <t xml:space="preserve">9</t>
    </r>
    <r>
      <rPr>
        <b val="true"/>
        <sz val="10"/>
        <rFont val="WenQuanYi Zen Hei"/>
        <family val="2"/>
      </rPr>
      <t xml:space="preserve">月分・繰越）</t>
    </r>
  </si>
  <si>
    <t xml:space="preserve">2026.9</t>
  </si>
  <si>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年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月分（未払いのため今回あわせてお支払い）：みなし年払い（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か月分を一括）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</si>
</sst>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;\-#,##0.00;\-"/>
    <numFmt numFmtId="166" formatCode="#,##0.00"/>
    <numFmt numFmtId="167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WenQuanYi Zen Hei"/>
      <family val="2"/>
    </font>
    <font>
      <b val="true"/>
      <sz val="10"/>
      <name val="WenQuanYi Zen Hei"/>
      <family val="2"/>
    </font>
    <font>
      <sz val="10"/>
      <name val="Arial"/>
      <family val="0"/>
      <charset val="1"/>
    </font>
    <font>
      <sz val="9"/>
      <name val="WenQuanYi Zen Hei"/>
      <family val="2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WenQuanYi Zen Hei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"/>
    <col collapsed="false" customWidth="true" hidden="false" outlineLevel="0" max="3" min="3" style="0" width="13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4" min="14" style="0" width="58"/>
  </cols>
  <sheetData>
    <row r="1" customFormat="false" ht="17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v>1790</v>
      </c>
      <c r="D3" s="4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  <c r="D4" s="4" t="s">
        <v>5</v>
      </c>
    </row>
    <row r="5" customFormat="false" ht="15" hidden="false" customHeight="false" outlineLevel="0" collapsed="false">
      <c r="A5" s="5" t="s">
        <v>6</v>
      </c>
      <c r="B5" s="6" t="n">
        <f aca="false">M14</f>
        <v>0</v>
      </c>
    </row>
    <row r="6" customFormat="false" ht="15" hidden="false" customHeight="false" outlineLevel="0" collapsed="false">
      <c r="A6" s="2" t="s">
        <v>7</v>
      </c>
      <c r="B6" s="6" t="n">
        <f aca="false">M18</f>
        <v>2062.5</v>
      </c>
    </row>
    <row r="7" customFormat="false" ht="15" hidden="false" customHeight="false" outlineLevel="0" collapsed="false">
      <c r="A7" s="2" t="s">
        <v>8</v>
      </c>
      <c r="B7" s="7" t="n">
        <f aca="false">B5+B6</f>
        <v>2062.5</v>
      </c>
    </row>
    <row r="8" customFormat="false" ht="15" hidden="false" customHeight="false" outlineLevel="0" collapsed="false">
      <c r="A8" s="2" t="s">
        <v>9</v>
      </c>
      <c r="B8" s="6" t="n">
        <v>5</v>
      </c>
    </row>
    <row r="9" customFormat="false" ht="15" hidden="false" customHeight="false" outlineLevel="0" collapsed="false">
      <c r="A9" s="2" t="s">
        <v>10</v>
      </c>
      <c r="B9" s="8" t="n">
        <f aca="false">IF(INT(B7)&lt;=B8,0,INT(B7)-B8)</f>
        <v>2057</v>
      </c>
    </row>
    <row r="11" customFormat="false" ht="26.85" hidden="false" customHeight="false" outlineLevel="0" collapsed="false">
      <c r="A11" s="9" t="s">
        <v>11</v>
      </c>
      <c r="B11" s="10" t="s">
        <v>12</v>
      </c>
      <c r="C11" s="9" t="s">
        <v>13</v>
      </c>
      <c r="D11" s="9" t="s">
        <v>14</v>
      </c>
      <c r="E11" s="9" t="s">
        <v>15</v>
      </c>
      <c r="F11" s="9" t="s">
        <v>16</v>
      </c>
      <c r="G11" s="9" t="s">
        <v>17</v>
      </c>
      <c r="H11" s="9" t="s">
        <v>18</v>
      </c>
      <c r="I11" s="9" t="s">
        <v>19</v>
      </c>
      <c r="J11" s="9" t="s">
        <v>20</v>
      </c>
      <c r="K11" s="9" t="s">
        <v>21</v>
      </c>
      <c r="L11" s="9" t="s">
        <v>22</v>
      </c>
      <c r="M11" s="9" t="s">
        <v>23</v>
      </c>
      <c r="N11" s="9" t="s">
        <v>24</v>
      </c>
    </row>
    <row r="12" customFormat="false" ht="15" hidden="false" customHeight="false" outlineLevel="0" collapsed="false">
      <c r="A12" s="11" t="s">
        <v>25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customFormat="false" ht="26.85" hidden="false" customHeight="false" outlineLevel="0" collapsed="false">
      <c r="A13" s="3" t="s">
        <v>26</v>
      </c>
      <c r="B13" s="3" t="n">
        <v>1</v>
      </c>
      <c r="C13" s="3" t="s">
        <v>27</v>
      </c>
      <c r="D13" s="3" t="s">
        <v>28</v>
      </c>
      <c r="E13" s="3" t="s">
        <v>29</v>
      </c>
      <c r="F13" s="13" t="s">
        <v>30</v>
      </c>
      <c r="G13" s="3" t="n">
        <v>1</v>
      </c>
      <c r="H13" s="14" t="n">
        <v>312.5</v>
      </c>
      <c r="I13" s="15" t="n">
        <v>0.55</v>
      </c>
      <c r="J13" s="6" t="n">
        <v>171.875</v>
      </c>
      <c r="K13" s="13" t="s">
        <v>31</v>
      </c>
      <c r="L13" s="3" t="n">
        <v>0</v>
      </c>
      <c r="M13" s="6" t="n">
        <f aca="false">J13*L13</f>
        <v>0</v>
      </c>
      <c r="N13" s="16" t="s">
        <v>32</v>
      </c>
    </row>
    <row r="14" customFormat="false" ht="15" hidden="false" customHeight="false" outlineLevel="0" collapsed="false">
      <c r="L14" s="17" t="s">
        <v>33</v>
      </c>
      <c r="M14" s="7" t="n">
        <f aca="false">SUM(M13:M13)</f>
        <v>0</v>
      </c>
    </row>
    <row r="16" customFormat="false" ht="15" hidden="false" customHeight="false" outlineLevel="0" collapsed="false">
      <c r="A16" s="18" t="s">
        <v>34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</row>
    <row r="17" customFormat="false" ht="26.85" hidden="false" customHeight="false" outlineLevel="0" collapsed="false">
      <c r="A17" s="3" t="s">
        <v>35</v>
      </c>
      <c r="B17" s="3" t="n">
        <v>1</v>
      </c>
      <c r="C17" s="3" t="s">
        <v>27</v>
      </c>
      <c r="D17" s="3" t="s">
        <v>28</v>
      </c>
      <c r="E17" s="3" t="s">
        <v>29</v>
      </c>
      <c r="F17" s="13" t="s">
        <v>30</v>
      </c>
      <c r="G17" s="3" t="n">
        <v>1</v>
      </c>
      <c r="H17" s="14" t="n">
        <v>312.5</v>
      </c>
      <c r="I17" s="15" t="n">
        <v>0.55</v>
      </c>
      <c r="J17" s="6" t="n">
        <v>171.875</v>
      </c>
      <c r="K17" s="13" t="s">
        <v>31</v>
      </c>
      <c r="L17" s="3" t="n">
        <v>12</v>
      </c>
      <c r="M17" s="6" t="n">
        <f aca="false">J17*L17</f>
        <v>2062.5</v>
      </c>
      <c r="N17" s="16" t="s">
        <v>36</v>
      </c>
    </row>
    <row r="18" customFormat="false" ht="15" hidden="false" customHeight="false" outlineLevel="0" collapsed="false">
      <c r="L18" s="17" t="s">
        <v>33</v>
      </c>
      <c r="M18" s="7" t="n">
        <f aca="false">SUM(M17:M17)</f>
        <v>2062.5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2026-10-18T15:21:58Z</dcterms:created>
  <dc:creator>openpyxl</dc:creator>
  <dc:description/>
  <dc:language>en-US</dc:language>
  <cp:lastModifiedBy/>
  <dcterms:modified xsi:type="dcterms:W3CDTF">2026-10-18T15:21:58Z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