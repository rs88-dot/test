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<sst xmlns="http://schemas.openxmlformats.org/spreadsheetml/2006/main" count="69" uniqueCount="43">
  <si>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</si>
  <si>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</si>
  <si>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</si>
  <si>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Yon o Pak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</si>
  <si>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</si>
  <si>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</si>
  <si>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</si>
  <si>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</si>
  <si>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</si>
  <si>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</si>
  <si>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</si>
  <si>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</si>
  <si>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</si>
  <si>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</si>
  <si>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</si>
  <si>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</si>
  <si>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</si>
  <si>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</si>
  <si>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</si>
  <si>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</si>
  <si>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</si>
  <si>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</si>
  <si>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T15W081546</t>
  </si>
  <si>
    <t xml:space="preserve">Yudai Konishi</t>
  </si>
  <si>
    <t xml:space="preserve">SPX15-X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</si>
  <si>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</si>
  <si>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</si>
  <si>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</si>
  <si>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T20W044480</t>
  </si>
  <si>
    <t xml:space="preserve">Taeil Lee</t>
  </si>
  <si>
    <t xml:space="preserve">SPX20-X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</si>
  <si>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</si>
  <si>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T15W082100</t>
  </si>
  <si>
    <t xml:space="preserve">Kyohei Yamamoto</t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</si>
  <si>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</si>
  <si>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</si>
  <si>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t xml:space="preserve">T15W082662</t>
  </si>
  <si>
    <t xml:space="preserve">Yuki Morioka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</si>
  <si>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</si>
  <si>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T20W044625</t>
  </si>
  <si>
    <t xml:space="preserve">Kota Matsumoto</t>
  </si>
  <si>
    <t xml:space="preserve">T15W065073</t>
  </si>
  <si>
    <t xml:space="preserve">Yuki Takaoka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</si>
</sst>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1769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SUM(L11:L18)</f>
        <v>5297.25</v>
      </c>
      <c r="E5" s="6" t="s">
        <v>5</v>
      </c>
      <c r="F5" s="7" t="n">
        <f aca="false">COUNTA(B11:B18)</f>
        <v>8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5292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800</v>
      </c>
      <c r="H11" s="15" t="n">
        <v>0.5</v>
      </c>
      <c r="I11" s="8" t="n">
        <v>400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30</v>
      </c>
      <c r="E12" s="13" t="s">
        <v>25</v>
      </c>
      <c r="F12" s="3" t="n">
        <v>1</v>
      </c>
      <c r="G12" s="14" t="n">
        <v>265</v>
      </c>
      <c r="H12" s="15" t="n">
        <v>0.55</v>
      </c>
      <c r="I12" s="8" t="n">
        <v>145.75</v>
      </c>
      <c r="J12" s="13" t="s">
        <v>26</v>
      </c>
      <c r="K12" s="3" t="n">
        <v>0</v>
      </c>
      <c r="L12" s="8" t="n">
        <f aca="false">I12*K12</f>
        <v>0</v>
      </c>
      <c r="M12" s="16" t="s">
        <v>31</v>
      </c>
    </row>
    <row r="13" customFormat="false" ht="15" hidden="false" customHeight="false" outlineLevel="0" collapsed="false">
      <c r="A13" s="3" t="n">
        <v>3</v>
      </c>
      <c r="B13" s="3" t="s">
        <v>32</v>
      </c>
      <c r="C13" s="3" t="s">
        <v>33</v>
      </c>
      <c r="D13" s="3" t="s">
        <v>24</v>
      </c>
      <c r="E13" s="13" t="s">
        <v>25</v>
      </c>
      <c r="F13" s="3" t="n">
        <v>1</v>
      </c>
      <c r="G13" s="14" t="n">
        <v>300</v>
      </c>
      <c r="H13" s="15" t="n">
        <v>0.5</v>
      </c>
      <c r="I13" s="8" t="n">
        <v>150</v>
      </c>
      <c r="J13" s="13" t="s">
        <v>26</v>
      </c>
      <c r="K13" s="3" t="n">
        <v>0</v>
      </c>
      <c r="L13" s="8" t="n">
        <f aca="false">I13*K13</f>
        <v>0</v>
      </c>
      <c r="M13" s="16" t="s">
        <v>31</v>
      </c>
    </row>
    <row r="14" customFormat="false" ht="15" hidden="false" customHeight="false" outlineLevel="0" collapsed="false">
      <c r="A14" s="3" t="n">
        <v>4</v>
      </c>
      <c r="B14" s="3" t="s">
        <v>32</v>
      </c>
      <c r="C14" s="3" t="s">
        <v>33</v>
      </c>
      <c r="D14" s="3" t="s">
        <v>34</v>
      </c>
      <c r="E14" s="13" t="s">
        <v>35</v>
      </c>
      <c r="F14" s="3" t="n">
        <v>1</v>
      </c>
      <c r="G14" s="14" t="n">
        <v>700</v>
      </c>
      <c r="H14" s="15" t="n">
        <v>0.6</v>
      </c>
      <c r="I14" s="8" t="n">
        <v>420</v>
      </c>
      <c r="J14" s="13" t="s">
        <v>26</v>
      </c>
      <c r="K14" s="3" t="n">
        <v>0</v>
      </c>
      <c r="L14" s="8" t="n">
        <f aca="false">I14*K14</f>
        <v>0</v>
      </c>
      <c r="M14" s="16" t="s">
        <v>31</v>
      </c>
    </row>
    <row r="15" customFormat="false" ht="15" hidden="false" customHeight="false" outlineLevel="0" collapsed="false">
      <c r="A15" s="3" t="n">
        <v>5</v>
      </c>
      <c r="B15" s="3" t="s">
        <v>36</v>
      </c>
      <c r="C15" s="3" t="s">
        <v>37</v>
      </c>
      <c r="D15" s="3" t="s">
        <v>24</v>
      </c>
      <c r="E15" s="13" t="s">
        <v>25</v>
      </c>
      <c r="F15" s="3" t="n">
        <v>1</v>
      </c>
      <c r="G15" s="14" t="n">
        <v>800</v>
      </c>
      <c r="H15" s="15" t="n">
        <v>0.55</v>
      </c>
      <c r="I15" s="8" t="n">
        <v>440</v>
      </c>
      <c r="J15" s="13" t="s">
        <v>26</v>
      </c>
      <c r="K15" s="3" t="n">
        <v>12</v>
      </c>
      <c r="L15" s="8" t="n">
        <f aca="false">I15*K15</f>
        <v>5280</v>
      </c>
      <c r="M15" s="17" t="s">
        <v>38</v>
      </c>
    </row>
    <row r="16" customFormat="false" ht="15" hidden="false" customHeight="false" outlineLevel="0" collapsed="false">
      <c r="A16" s="3" t="n">
        <v>6</v>
      </c>
      <c r="B16" s="3" t="s">
        <v>39</v>
      </c>
      <c r="C16" s="3" t="s">
        <v>40</v>
      </c>
      <c r="D16" s="3" t="s">
        <v>30</v>
      </c>
      <c r="E16" s="13" t="s">
        <v>25</v>
      </c>
      <c r="F16" s="3" t="n">
        <v>1</v>
      </c>
      <c r="G16" s="14" t="n">
        <v>265</v>
      </c>
      <c r="H16" s="15" t="n">
        <v>0.55</v>
      </c>
      <c r="I16" s="8" t="n">
        <v>145.75</v>
      </c>
      <c r="J16" s="13" t="s">
        <v>26</v>
      </c>
      <c r="K16" s="3" t="n">
        <v>0</v>
      </c>
      <c r="L16" s="8" t="n">
        <f aca="false">I16*K16</f>
        <v>0</v>
      </c>
      <c r="M16" s="16" t="s">
        <v>31</v>
      </c>
    </row>
    <row r="17" customFormat="false" ht="15" hidden="false" customHeight="false" outlineLevel="0" collapsed="false">
      <c r="A17" s="3" t="n">
        <v>7</v>
      </c>
      <c r="B17" s="3" t="s">
        <v>41</v>
      </c>
      <c r="C17" s="3" t="s">
        <v>42</v>
      </c>
      <c r="D17" s="3" t="s">
        <v>24</v>
      </c>
      <c r="E17" s="13" t="s">
        <v>25</v>
      </c>
      <c r="F17" s="3" t="n">
        <v>3</v>
      </c>
      <c r="G17" s="14" t="n">
        <v>200</v>
      </c>
      <c r="H17" s="15" t="n">
        <v>0.0425</v>
      </c>
      <c r="I17" s="8" t="n">
        <v>8.5</v>
      </c>
      <c r="J17" s="13" t="s">
        <v>26</v>
      </c>
      <c r="K17" s="3" t="n">
        <v>1</v>
      </c>
      <c r="L17" s="8" t="n">
        <f aca="false">I17*K17</f>
        <v>8.5</v>
      </c>
      <c r="M17" s="16"/>
    </row>
    <row r="18" customFormat="false" ht="15" hidden="false" customHeight="false" outlineLevel="0" collapsed="false">
      <c r="A18" s="3" t="n">
        <v>8</v>
      </c>
      <c r="B18" s="3" t="s">
        <v>41</v>
      </c>
      <c r="C18" s="3" t="s">
        <v>42</v>
      </c>
      <c r="D18" s="3" t="s">
        <v>34</v>
      </c>
      <c r="E18" s="13" t="s">
        <v>35</v>
      </c>
      <c r="F18" s="3" t="n">
        <v>3</v>
      </c>
      <c r="G18" s="14" t="n">
        <v>100</v>
      </c>
      <c r="H18" s="15" t="n">
        <v>0.0875</v>
      </c>
      <c r="I18" s="8" t="n">
        <v>8.75</v>
      </c>
      <c r="J18" s="13" t="s">
        <v>26</v>
      </c>
      <c r="K18" s="3" t="n">
        <v>1</v>
      </c>
      <c r="L18" s="8" t="n">
        <f aca="false">I18*K18</f>
        <v>8.75</v>
      </c>
      <c r="M18" s="16"/>
    </row>
  </sheetData>
  <autoFilter ref="A10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2026-10-19T12:02:13Z</dcterms:created>
  <dc:creator>openpyxl</dc:creator>
  <dc:description/>
  <dc:language>en-US</dc:language>
  <cp:lastModifiedBy/>
  <dcterms:modified xsi:type="dcterms:W3CDTF">2026-10-19T12:02:13Z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