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明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<sst xmlns="http://schemas.openxmlformats.org/spreadsheetml/2006/main" count="109" uniqueCount="69">
  <si>
    <r>
      <rPr>
        <b val="true"/>
        <sz val="13"/>
        <rFont val="Arial"/>
        <family val="0"/>
        <charset val="1"/>
      </rPr>
      <t xml:space="preserve">Elevete</t>
    </r>
    <r>
      <rPr>
        <b val="true"/>
        <sz val="13"/>
        <rFont val="WenQuanYi Zen Hei"/>
        <family val="2"/>
      </rPr>
      <t xml:space="preserve">社（旧</t>
    </r>
    <r>
      <rPr>
        <b val="true"/>
        <sz val="13"/>
        <rFont val="Arial"/>
        <family val="0"/>
        <charset val="1"/>
      </rPr>
      <t xml:space="preserve">B</t>
    </r>
    <r>
      <rPr>
        <b val="true"/>
        <sz val="13"/>
        <rFont val="WenQuanYi Zen Hei"/>
        <family val="2"/>
      </rPr>
      <t xml:space="preserve">社）　保全事務代行費用 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月お支払い分（対象月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</si>
  <si>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支払先：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株</t>
    </r>
    <r>
      <rPr>
        <b val="true"/>
        <sz val="10"/>
        <rFont val="Arial"/>
        <family val="0"/>
        <charset val="1"/>
      </rPr>
      <t xml:space="preserve">)GIVERS BANK</t>
    </r>
    <r>
      <rPr>
        <b val="true"/>
        <sz val="10"/>
        <rFont val="WenQuanYi Zen Hei"/>
        <family val="2"/>
      </rPr>
      <t xml:space="preserve">（中谷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・本多様分を含む）</t>
    </r>
  </si>
  <si>
    <t xml:space="preserve">区分</t>
  </si>
  <si>
    <t xml:space="preserve">顧客名</t>
  </si>
  <si>
    <t xml:space="preserve">プラン番号</t>
  </si>
  <si>
    <t xml:space="preserve">商品</t>
  </si>
  <si>
    <t xml:space="preserve">年次</t>
  </si>
  <si>
    <r>
      <rPr>
        <b val="true"/>
        <sz val="10"/>
        <rFont val="WenQuanYi Zen Hei"/>
        <family val="2"/>
      </rPr>
      <t xml:space="preserve">拠出金額（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WenQuanYi Zen Hei"/>
        <family val="2"/>
      </rPr>
      <t xml:space="preserve">）</t>
    </r>
  </si>
  <si>
    <t xml:space="preserve">保全事務代行費用率</t>
  </si>
  <si>
    <r>
      <rPr>
        <b val="true"/>
        <sz val="10"/>
        <rFont val="WenQuanYi Zen Hei"/>
        <family val="2"/>
      </rPr>
      <t xml:space="preserve">保全事務代行費用（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WenQuanYi Zen Hei"/>
        <family val="2"/>
      </rPr>
      <t xml:space="preserve">）</t>
    </r>
  </si>
  <si>
    <t xml:space="preserve">担当</t>
  </si>
  <si>
    <t xml:space="preserve">備考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</si>
  <si>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</t>
    </r>
  </si>
  <si>
    <t xml:space="preserve">Kazuhide Nakamura</t>
  </si>
  <si>
    <t xml:space="preserve">T25W052371</t>
  </si>
  <si>
    <t xml:space="preserve">EVO25</t>
  </si>
  <si>
    <t xml:space="preserve">中谷</t>
  </si>
  <si>
    <t xml:space="preserve">Miho Nakanishi</t>
  </si>
  <si>
    <t xml:space="preserve">T25W052472</t>
  </si>
  <si>
    <t xml:space="preserve">Miyuki Norikane</t>
  </si>
  <si>
    <t xml:space="preserve">T25W052523</t>
  </si>
  <si>
    <t xml:space="preserve">Shiho Narita</t>
  </si>
  <si>
    <t xml:space="preserve">T25W052156</t>
  </si>
  <si>
    <t xml:space="preserve">Tadashi Morimoto</t>
  </si>
  <si>
    <t xml:space="preserve">T25W052269</t>
  </si>
  <si>
    <t xml:space="preserve">Takuya Ikeyama</t>
  </si>
  <si>
    <t xml:space="preserve">T25W052818</t>
  </si>
  <si>
    <t xml:space="preserve">Yasuyuki Hashimoto</t>
  </si>
  <si>
    <t xml:space="preserve">T25W052347</t>
  </si>
  <si>
    <t xml:space="preserve">本多</t>
  </si>
  <si>
    <t xml:space="preserve">Yuko Tokunaga</t>
  </si>
  <si>
    <t xml:space="preserve">T25W051950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</si>
  <si>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年目</t>
    </r>
  </si>
  <si>
    <t xml:space="preserve">Aki Hosoda</t>
  </si>
  <si>
    <t xml:space="preserve">T20W034660</t>
  </si>
  <si>
    <t xml:space="preserve">SPX20-X</t>
  </si>
  <si>
    <t xml:space="preserve">Ryuma Takagi</t>
  </si>
  <si>
    <t xml:space="preserve">T25W046130</t>
  </si>
  <si>
    <t xml:space="preserve">Takuya Furumi</t>
  </si>
  <si>
    <t xml:space="preserve">T20W034659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</si>
  <si>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年目</t>
    </r>
  </si>
  <si>
    <t xml:space="preserve">Momone Kawade</t>
  </si>
  <si>
    <t xml:space="preserve">T20W028882</t>
  </si>
  <si>
    <t xml:space="preserve">Takanori Ishikawa</t>
  </si>
  <si>
    <t xml:space="preserve">T25W042986</t>
  </si>
  <si>
    <t xml:space="preserve">Yamato Higashimoto</t>
  </si>
  <si>
    <t xml:space="preserve">T20W028850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</si>
  <si>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年目</t>
    </r>
  </si>
  <si>
    <t xml:space="preserve">Kengo Sugimoto</t>
  </si>
  <si>
    <t xml:space="preserve">T20W015798</t>
  </si>
  <si>
    <t xml:space="preserve">平準払い小計</t>
  </si>
  <si>
    <t xml:space="preserve">▼ 手動調整（戻入・過去未請求）</t>
  </si>
  <si>
    <t xml:space="preserve">戻入</t>
  </si>
  <si>
    <t xml:space="preserve">Kodama Noriki</t>
  </si>
  <si>
    <t xml:space="preserve">T20W028262</t>
  </si>
  <si>
    <t xml:space="preserve">SPX20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</si>
  <si>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年と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カ月分積立済で担当者変更の為、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カ月分戻入</t>
    </r>
  </si>
  <si>
    <t xml:space="preserve">Iwasaki Atsuki</t>
  </si>
  <si>
    <t xml:space="preserve">T25W051376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</si>
  <si>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カ月分積立済で失効の為、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カ月分戻入</t>
    </r>
  </si>
  <si>
    <t xml:space="preserve">未納解消・過去未請求</t>
  </si>
  <si>
    <t xml:space="preserve">Ito Takashi</t>
  </si>
  <si>
    <t xml:space="preserve">T25W041622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</si>
  <si>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月時点、未納により未払出（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カ月分）</t>
    </r>
  </si>
  <si>
    <t xml:space="preserve">手動調整小計</t>
  </si>
  <si>
    <t xml:space="preserve">お支払い合計</t>
  </si>
  <si>
    <t xml:space="preserve">うち 本多様分</t>
  </si>
  <si>
    <t xml:space="preserve">うち 中谷様分ほか</t>
  </si>
  <si>
    <r>
      <rPr>
        <sz val="9"/>
        <rFont val="Arial"/>
        <family val="0"/>
        <charset val="1"/>
      </rPr>
      <t xml:space="preserve">※GIVERS BANK</t>
    </r>
    <r>
      <rPr>
        <sz val="9"/>
        <rFont val="WenQuanYi Zen Hei"/>
        <family val="2"/>
      </rPr>
      <t xml:space="preserve">特別ルール：発効月が対象月と一致する契約のみ。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年目以降は月額相当</t>
    </r>
    <r>
      <rPr>
        <sz val="9"/>
        <rFont val="Arial"/>
        <family val="0"/>
        <charset val="1"/>
      </rPr>
      <t xml:space="preserve">×12</t>
    </r>
    <r>
      <rPr>
        <sz val="9"/>
        <rFont val="WenQuanYi Zen Hei"/>
        <family val="2"/>
      </rPr>
      <t xml:space="preserve">のみなし年払い。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</si>
</sst>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#,##0.00;\-#,##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9"/>
      <name val="Arial"/>
      <family val="0"/>
      <charset val="1"/>
    </font>
    <font>
      <sz val="9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46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n">
        <v>2</v>
      </c>
      <c r="F5" s="5" t="n">
        <v>450</v>
      </c>
      <c r="G5" s="6" t="n">
        <v>0.0875</v>
      </c>
      <c r="H5" s="7" t="n">
        <v>472.5</v>
      </c>
      <c r="I5" s="8" t="s">
        <v>16</v>
      </c>
      <c r="J5" s="4"/>
    </row>
    <row r="6" customFormat="false" ht="15" hidden="false" customHeight="false" outlineLevel="0" collapsed="false">
      <c r="A6" s="4" t="s">
        <v>12</v>
      </c>
      <c r="B6" s="4" t="s">
        <v>17</v>
      </c>
      <c r="C6" s="4" t="s">
        <v>18</v>
      </c>
      <c r="D6" s="4" t="s">
        <v>15</v>
      </c>
      <c r="E6" s="4" t="n">
        <v>2</v>
      </c>
      <c r="F6" s="5" t="n">
        <v>200</v>
      </c>
      <c r="G6" s="6" t="n">
        <v>0.0875</v>
      </c>
      <c r="H6" s="7" t="n">
        <v>210</v>
      </c>
      <c r="I6" s="8" t="s">
        <v>16</v>
      </c>
      <c r="J6" s="4"/>
    </row>
    <row r="7" customFormat="false" ht="15" hidden="false" customHeight="false" outlineLevel="0" collapsed="false">
      <c r="A7" s="4" t="s">
        <v>12</v>
      </c>
      <c r="B7" s="4" t="s">
        <v>19</v>
      </c>
      <c r="C7" s="4" t="s">
        <v>20</v>
      </c>
      <c r="D7" s="4" t="s">
        <v>15</v>
      </c>
      <c r="E7" s="4" t="n">
        <v>2</v>
      </c>
      <c r="F7" s="5" t="n">
        <v>700</v>
      </c>
      <c r="G7" s="6" t="n">
        <v>0.0875</v>
      </c>
      <c r="H7" s="7" t="n">
        <v>735</v>
      </c>
      <c r="I7" s="8" t="s">
        <v>16</v>
      </c>
      <c r="J7" s="4"/>
    </row>
    <row r="8" customFormat="false" ht="15" hidden="false" customHeight="false" outlineLevel="0" collapsed="false">
      <c r="A8" s="4" t="s">
        <v>12</v>
      </c>
      <c r="B8" s="4" t="s">
        <v>21</v>
      </c>
      <c r="C8" s="4" t="s">
        <v>22</v>
      </c>
      <c r="D8" s="4" t="s">
        <v>15</v>
      </c>
      <c r="E8" s="4" t="n">
        <v>2</v>
      </c>
      <c r="F8" s="5" t="n">
        <v>200</v>
      </c>
      <c r="G8" s="6" t="n">
        <v>0.0875</v>
      </c>
      <c r="H8" s="7" t="n">
        <v>210</v>
      </c>
      <c r="I8" s="8" t="s">
        <v>16</v>
      </c>
      <c r="J8" s="4"/>
    </row>
    <row r="9" customFormat="false" ht="15" hidden="false" customHeight="false" outlineLevel="0" collapsed="false">
      <c r="A9" s="4" t="s">
        <v>12</v>
      </c>
      <c r="B9" s="4" t="s">
        <v>23</v>
      </c>
      <c r="C9" s="4" t="s">
        <v>24</v>
      </c>
      <c r="D9" s="4" t="s">
        <v>15</v>
      </c>
      <c r="E9" s="4" t="n">
        <v>2</v>
      </c>
      <c r="F9" s="5" t="n">
        <v>300</v>
      </c>
      <c r="G9" s="6" t="n">
        <v>0.0875</v>
      </c>
      <c r="H9" s="7" t="n">
        <v>315</v>
      </c>
      <c r="I9" s="8" t="s">
        <v>16</v>
      </c>
      <c r="J9" s="4"/>
    </row>
    <row r="10" customFormat="false" ht="15" hidden="false" customHeight="false" outlineLevel="0" collapsed="false">
      <c r="A10" s="4" t="s">
        <v>12</v>
      </c>
      <c r="B10" s="4" t="s">
        <v>25</v>
      </c>
      <c r="C10" s="4" t="s">
        <v>26</v>
      </c>
      <c r="D10" s="4" t="s">
        <v>15</v>
      </c>
      <c r="E10" s="4" t="n">
        <v>2</v>
      </c>
      <c r="F10" s="5" t="n">
        <v>300</v>
      </c>
      <c r="G10" s="6" t="n">
        <v>0.0875</v>
      </c>
      <c r="H10" s="7" t="n">
        <v>315</v>
      </c>
      <c r="I10" s="8" t="s">
        <v>16</v>
      </c>
      <c r="J10" s="4"/>
    </row>
    <row r="11" customFormat="false" ht="15" hidden="false" customHeight="false" outlineLevel="0" collapsed="false">
      <c r="A11" s="4" t="s">
        <v>12</v>
      </c>
      <c r="B11" s="4" t="s">
        <v>27</v>
      </c>
      <c r="C11" s="4" t="s">
        <v>28</v>
      </c>
      <c r="D11" s="4" t="s">
        <v>15</v>
      </c>
      <c r="E11" s="4" t="n">
        <v>2</v>
      </c>
      <c r="F11" s="5" t="n">
        <v>150</v>
      </c>
      <c r="G11" s="6" t="n">
        <v>0.0875</v>
      </c>
      <c r="H11" s="7" t="n">
        <v>157.5</v>
      </c>
      <c r="I11" s="8" t="s">
        <v>29</v>
      </c>
      <c r="J11" s="4"/>
    </row>
    <row r="12" customFormat="false" ht="15" hidden="false" customHeight="false" outlineLevel="0" collapsed="false">
      <c r="A12" s="4" t="s">
        <v>12</v>
      </c>
      <c r="B12" s="4" t="s">
        <v>30</v>
      </c>
      <c r="C12" s="4" t="s">
        <v>31</v>
      </c>
      <c r="D12" s="4" t="s">
        <v>15</v>
      </c>
      <c r="E12" s="4" t="n">
        <v>2</v>
      </c>
      <c r="F12" s="5" t="n">
        <v>5400</v>
      </c>
      <c r="G12" s="6" t="n">
        <v>0.0875</v>
      </c>
      <c r="H12" s="7" t="n">
        <v>5670</v>
      </c>
      <c r="I12" s="8" t="s">
        <v>16</v>
      </c>
      <c r="J12" s="4"/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35</v>
      </c>
      <c r="E13" s="4" t="n">
        <v>3</v>
      </c>
      <c r="F13" s="5" t="n">
        <v>200</v>
      </c>
      <c r="G13" s="6" t="n">
        <v>0.0375</v>
      </c>
      <c r="H13" s="7" t="n">
        <v>90</v>
      </c>
      <c r="I13" s="8" t="s">
        <v>29</v>
      </c>
      <c r="J13" s="4"/>
    </row>
    <row r="14" customFormat="false" ht="15" hidden="false" customHeight="false" outlineLevel="0" collapsed="false">
      <c r="A14" s="4" t="s">
        <v>32</v>
      </c>
      <c r="B14" s="4" t="s">
        <v>36</v>
      </c>
      <c r="C14" s="4" t="s">
        <v>37</v>
      </c>
      <c r="D14" s="4" t="s">
        <v>15</v>
      </c>
      <c r="E14" s="4" t="n">
        <v>3</v>
      </c>
      <c r="F14" s="5" t="n">
        <v>260</v>
      </c>
      <c r="G14" s="6" t="n">
        <v>0.0775</v>
      </c>
      <c r="H14" s="7" t="n">
        <v>241.8</v>
      </c>
      <c r="I14" s="8" t="s">
        <v>29</v>
      </c>
      <c r="J14" s="4"/>
    </row>
    <row r="15" customFormat="false" ht="15" hidden="false" customHeight="false" outlineLevel="0" collapsed="false">
      <c r="A15" s="4" t="s">
        <v>32</v>
      </c>
      <c r="B15" s="4" t="s">
        <v>38</v>
      </c>
      <c r="C15" s="4" t="s">
        <v>39</v>
      </c>
      <c r="D15" s="4" t="s">
        <v>35</v>
      </c>
      <c r="E15" s="4" t="n">
        <v>3</v>
      </c>
      <c r="F15" s="5" t="n">
        <v>270</v>
      </c>
      <c r="G15" s="6" t="n">
        <v>0.0375</v>
      </c>
      <c r="H15" s="7" t="n">
        <v>121.5</v>
      </c>
      <c r="I15" s="8" t="s">
        <v>29</v>
      </c>
      <c r="J15" s="4"/>
    </row>
    <row r="16" customFormat="false" ht="15" hidden="false" customHeight="false" outlineLevel="0" collapsed="false">
      <c r="A16" s="4" t="s">
        <v>40</v>
      </c>
      <c r="B16" s="4" t="s">
        <v>41</v>
      </c>
      <c r="C16" s="4" t="s">
        <v>42</v>
      </c>
      <c r="D16" s="4" t="s">
        <v>35</v>
      </c>
      <c r="E16" s="4" t="n">
        <v>4</v>
      </c>
      <c r="F16" s="5" t="n">
        <v>270</v>
      </c>
      <c r="G16" s="6" t="n">
        <v>0.016</v>
      </c>
      <c r="H16" s="7" t="n">
        <v>51.84</v>
      </c>
      <c r="I16" s="8" t="s">
        <v>16</v>
      </c>
      <c r="J16" s="4"/>
    </row>
    <row r="17" customFormat="false" ht="15" hidden="false" customHeight="false" outlineLevel="0" collapsed="false">
      <c r="A17" s="4" t="s">
        <v>40</v>
      </c>
      <c r="B17" s="4" t="s">
        <v>43</v>
      </c>
      <c r="C17" s="4" t="s">
        <v>44</v>
      </c>
      <c r="D17" s="4" t="s">
        <v>15</v>
      </c>
      <c r="E17" s="4" t="n">
        <v>4</v>
      </c>
      <c r="F17" s="5" t="n">
        <v>340</v>
      </c>
      <c r="G17" s="6" t="n">
        <v>0.044</v>
      </c>
      <c r="H17" s="7" t="n">
        <v>179.52</v>
      </c>
      <c r="I17" s="8" t="s">
        <v>16</v>
      </c>
      <c r="J17" s="4"/>
    </row>
    <row r="18" customFormat="false" ht="15" hidden="false" customHeight="false" outlineLevel="0" collapsed="false">
      <c r="A18" s="4" t="s">
        <v>40</v>
      </c>
      <c r="B18" s="4" t="s">
        <v>45</v>
      </c>
      <c r="C18" s="4" t="s">
        <v>46</v>
      </c>
      <c r="D18" s="4" t="s">
        <v>35</v>
      </c>
      <c r="E18" s="4" t="n">
        <v>4</v>
      </c>
      <c r="F18" s="5" t="n">
        <v>270</v>
      </c>
      <c r="G18" s="6" t="n">
        <v>0.016</v>
      </c>
      <c r="H18" s="7" t="n">
        <v>51.84</v>
      </c>
      <c r="I18" s="8" t="s">
        <v>16</v>
      </c>
      <c r="J18" s="4"/>
    </row>
    <row r="19" customFormat="false" ht="15" hidden="false" customHeight="false" outlineLevel="0" collapsed="false">
      <c r="A19" s="4" t="s">
        <v>47</v>
      </c>
      <c r="B19" s="4" t="s">
        <v>48</v>
      </c>
      <c r="C19" s="4" t="s">
        <v>49</v>
      </c>
      <c r="D19" s="4" t="s">
        <v>35</v>
      </c>
      <c r="E19" s="4" t="n">
        <v>6</v>
      </c>
      <c r="F19" s="5" t="n">
        <v>400</v>
      </c>
      <c r="G19" s="6" t="n">
        <v>0.011</v>
      </c>
      <c r="H19" s="7" t="n">
        <v>52.8</v>
      </c>
      <c r="I19" s="8" t="s">
        <v>16</v>
      </c>
      <c r="J19" s="4"/>
    </row>
    <row r="20" customFormat="false" ht="15" hidden="false" customHeight="false" outlineLevel="0" collapsed="false">
      <c r="G20" s="9" t="s">
        <v>50</v>
      </c>
      <c r="H20" s="10" t="n">
        <f aca="false">SUM(H5:H19)</f>
        <v>8874.3</v>
      </c>
    </row>
    <row r="22" customFormat="false" ht="15" hidden="false" customHeight="false" outlineLevel="0" collapsed="false">
      <c r="A22" s="9" t="s">
        <v>51</v>
      </c>
    </row>
    <row r="23" customFormat="false" ht="15" hidden="false" customHeight="false" outlineLevel="0" collapsed="false">
      <c r="A23" s="8" t="s">
        <v>52</v>
      </c>
      <c r="B23" s="4" t="s">
        <v>53</v>
      </c>
      <c r="C23" s="4" t="s">
        <v>54</v>
      </c>
      <c r="D23" s="4" t="s">
        <v>55</v>
      </c>
      <c r="E23" s="4" t="n">
        <v>35</v>
      </c>
      <c r="F23" s="4"/>
      <c r="G23" s="4"/>
      <c r="H23" s="7" t="n">
        <v>-12.375</v>
      </c>
      <c r="I23" s="4"/>
      <c r="J23" s="11" t="s">
        <v>56</v>
      </c>
    </row>
    <row r="24" customFormat="false" ht="15" hidden="false" customHeight="false" outlineLevel="0" collapsed="false">
      <c r="A24" s="8" t="s">
        <v>52</v>
      </c>
      <c r="B24" s="4" t="s">
        <v>57</v>
      </c>
      <c r="C24" s="4" t="s">
        <v>58</v>
      </c>
      <c r="D24" s="4" t="s">
        <v>15</v>
      </c>
      <c r="E24" s="4" t="n">
        <v>10</v>
      </c>
      <c r="F24" s="4"/>
      <c r="G24" s="4"/>
      <c r="H24" s="7" t="n">
        <v>-495</v>
      </c>
      <c r="I24" s="4"/>
      <c r="J24" s="11" t="s">
        <v>59</v>
      </c>
    </row>
    <row r="25" customFormat="false" ht="15" hidden="false" customHeight="false" outlineLevel="0" collapsed="false">
      <c r="A25" s="8" t="s">
        <v>60</v>
      </c>
      <c r="B25" s="4" t="s">
        <v>61</v>
      </c>
      <c r="C25" s="4" t="s">
        <v>62</v>
      </c>
      <c r="D25" s="4" t="s">
        <v>15</v>
      </c>
      <c r="E25" s="4" t="n">
        <v>4</v>
      </c>
      <c r="F25" s="4"/>
      <c r="G25" s="4"/>
      <c r="H25" s="7" t="n">
        <v>158.4</v>
      </c>
      <c r="I25" s="4"/>
      <c r="J25" s="11" t="s">
        <v>63</v>
      </c>
    </row>
    <row r="26" customFormat="false" ht="15" hidden="false" customHeight="false" outlineLevel="0" collapsed="false">
      <c r="G26" s="9" t="s">
        <v>64</v>
      </c>
      <c r="H26" s="10" t="n">
        <f aca="false">SUM(H23:H25)</f>
        <v>-348.975</v>
      </c>
    </row>
    <row r="28" customFormat="false" ht="15" hidden="false" customHeight="false" outlineLevel="0" collapsed="false">
      <c r="G28" s="12" t="s">
        <v>65</v>
      </c>
      <c r="H28" s="13" t="n">
        <f aca="false">H20+H26</f>
        <v>8525.325</v>
      </c>
    </row>
    <row r="30" customFormat="false" ht="15" hidden="false" customHeight="false" outlineLevel="0" collapsed="false">
      <c r="G30" s="9" t="s">
        <v>66</v>
      </c>
      <c r="H30" s="7" t="n">
        <f aca="false">SUMIF(I5:I26,"本多",H5:H26)</f>
        <v>610.8</v>
      </c>
    </row>
    <row r="31" customFormat="false" ht="15" hidden="false" customHeight="false" outlineLevel="0" collapsed="false">
      <c r="G31" s="9" t="s">
        <v>67</v>
      </c>
      <c r="H31" s="7" t="n">
        <f aca="false">H28-H30</f>
        <v>7914.525</v>
      </c>
    </row>
    <row r="33" customFormat="false" ht="15" hidden="false" customHeight="false" outlineLevel="0" collapsed="false">
      <c r="A33" s="1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2026-10-18T15:15:55Z</dcterms:created>
  <dc:creator>openpyxl</dc:creator>
  <dc:description/>
  <dc:language>en-US</dc:language>
  <cp:lastModifiedBy/>
  <dcterms:modified xsi:type="dcterms:W3CDTF">2026-10-18T15:15:55Z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