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definedNames>
    <definedName function="false" hidden="true" localSheetId="0" name="_xlnm._FilterDatabase" vbProcedure="false">10月明細!$A$10:$M$20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<sst xmlns="http://schemas.openxmlformats.org/spreadsheetml/2006/main" count="83" uniqueCount="50">
  <si>
    <r>
      <rPr>
        <b val="true"/>
        <sz val="13"/>
        <rFont val="WenQuanYi Zen Hei"/>
        <family val="2"/>
      </rPr>
      <t xml:space="preserve">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</si>
  <si>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</si>
  <si>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</si>
  <si>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Ota, Masato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</si>
  <si>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</si>
  <si>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件数</t>
  </si>
  <si>
    <t xml:space="preserve">手数料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</si>
  <si>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</si>
  <si>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今回お支払額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</si>
  <si>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回お支払い（担当者変更の契約は弊社担当の残り月数分）。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年目以降は平準（毎月）。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</si>
  <si>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</si>
  <si>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</si>
  <si>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</si>
  <si>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</si>
  <si>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</si>
  <si>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</si>
  <si>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</si>
  <si>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</si>
  <si>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</si>
  <si>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</si>
  <si>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</si>
  <si>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</si>
  <si>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T15W082140</t>
  </si>
  <si>
    <t xml:space="preserve">Takuya Otsuka</t>
  </si>
  <si>
    <t xml:space="preserve">SPX15-X</t>
  </si>
  <si>
    <t xml:space="preserve">基本プラン</t>
  </si>
  <si>
    <t xml:space="preserve">みなし</t>
  </si>
  <si>
    <r>
      <rPr>
        <sz val="10"/>
        <rFont val="Arial"/>
        <family val="0"/>
        <charset val="1"/>
      </rPr>
      <t xml:space="preserve">2026.9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</si>
  <si>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EVO25</t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</si>
  <si>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</si>
  <si>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</si>
  <si>
    <t xml:space="preserve">T25W058356</t>
  </si>
  <si>
    <t xml:space="preserve">Kokona Nakamoto</t>
  </si>
  <si>
    <t xml:space="preserve">T25W058117</t>
  </si>
  <si>
    <t xml:space="preserve">Daiki Bessho</t>
  </si>
  <si>
    <r>
      <rPr>
        <sz val="10"/>
        <rFont val="Arial"/>
        <family val="0"/>
        <charset val="1"/>
      </rPr>
      <t xml:space="preserve">2026.8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</si>
  <si>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T25W059180</t>
  </si>
  <si>
    <t xml:space="preserve">Shun Tanaka</t>
  </si>
  <si>
    <t xml:space="preserve">T20W044100</t>
  </si>
  <si>
    <t xml:space="preserve">Honoka Minami</t>
  </si>
  <si>
    <t xml:space="preserve">SPX20-X</t>
  </si>
  <si>
    <r>
      <rPr>
        <sz val="10"/>
        <rFont val="Arial"/>
        <family val="0"/>
        <charset val="1"/>
      </rPr>
      <t xml:space="preserve">2026.7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</si>
  <si>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T20W044683</t>
  </si>
  <si>
    <t xml:space="preserve">Syuya Maeda</t>
  </si>
  <si>
    <t xml:space="preserve">T20W045001</t>
  </si>
  <si>
    <t xml:space="preserve">Rino Ogawa</t>
  </si>
  <si>
    <t xml:space="preserve">T20W045143</t>
  </si>
  <si>
    <t xml:space="preserve">Suzuha Nishitani</t>
  </si>
  <si>
    <t xml:space="preserve">T15W081146</t>
  </si>
  <si>
    <t xml:space="preserve">Asahi Ota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</si>
</sst>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1799</v>
      </c>
    </row>
    <row r="4" customFormat="false" ht="15" hidden="false" customHeight="false" outlineLevel="0" collapsed="false">
      <c r="B4" s="2" t="s">
        <v>2</v>
      </c>
      <c r="C4" s="3" t="s">
        <v>3</v>
      </c>
    </row>
    <row r="5" customFormat="false" ht="15" hidden="false" customHeight="false" outlineLevel="0" collapsed="false">
      <c r="B5" s="4" t="s">
        <v>4</v>
      </c>
      <c r="C5" s="5" t="n">
        <f aca="false">SUM(L11:L20)</f>
        <v>3384</v>
      </c>
      <c r="E5" s="6" t="s">
        <v>5</v>
      </c>
      <c r="F5" s="7" t="n">
        <f aca="false">COUNTA(B11:B20)</f>
        <v>10</v>
      </c>
    </row>
    <row r="6" customFormat="false" ht="15" hidden="false" customHeight="false" outlineLevel="0" collapsed="false">
      <c r="B6" s="2" t="s">
        <v>6</v>
      </c>
      <c r="C6" s="8" t="n">
        <v>5</v>
      </c>
      <c r="E6" s="9" t="s">
        <v>7</v>
      </c>
    </row>
    <row r="7" customFormat="false" ht="15" hidden="false" customHeight="false" outlineLevel="0" collapsed="false">
      <c r="B7" s="2" t="s">
        <v>8</v>
      </c>
      <c r="C7" s="10" t="n">
        <f aca="false">IF(INT(C5)&lt;=C6,0,INT(C5)-C6)</f>
        <v>3379</v>
      </c>
      <c r="E7" s="9" t="s">
        <v>9</v>
      </c>
    </row>
    <row r="10" customFormat="false" ht="39.55" hidden="false" customHeight="false" outlineLevel="0" collapsed="false">
      <c r="A10" s="11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8</v>
      </c>
      <c r="M10" s="12" t="s">
        <v>21</v>
      </c>
    </row>
    <row r="11" customFormat="false" ht="15" hidden="false" customHeight="false" outlineLevel="0" collapsed="false">
      <c r="A11" s="3" t="n">
        <v>1</v>
      </c>
      <c r="B11" s="3" t="s">
        <v>22</v>
      </c>
      <c r="C11" s="3" t="s">
        <v>23</v>
      </c>
      <c r="D11" s="3" t="s">
        <v>24</v>
      </c>
      <c r="E11" s="13" t="s">
        <v>25</v>
      </c>
      <c r="F11" s="3" t="n">
        <v>1</v>
      </c>
      <c r="G11" s="14" t="n">
        <v>400</v>
      </c>
      <c r="H11" s="15" t="n">
        <v>0.25</v>
      </c>
      <c r="I11" s="8" t="n">
        <v>100</v>
      </c>
      <c r="J11" s="13" t="s">
        <v>26</v>
      </c>
      <c r="K11" s="3" t="n">
        <v>0</v>
      </c>
      <c r="L11" s="8" t="n">
        <f aca="false">I11*K11</f>
        <v>0</v>
      </c>
      <c r="M11" s="16" t="s">
        <v>27</v>
      </c>
    </row>
    <row r="12" customFormat="false" ht="15" hidden="false" customHeight="false" outlineLevel="0" collapsed="false">
      <c r="A12" s="3" t="n">
        <v>2</v>
      </c>
      <c r="B12" s="3" t="s">
        <v>22</v>
      </c>
      <c r="C12" s="3" t="s">
        <v>23</v>
      </c>
      <c r="D12" s="3" t="s">
        <v>28</v>
      </c>
      <c r="E12" s="13" t="s">
        <v>29</v>
      </c>
      <c r="F12" s="3" t="n">
        <v>1</v>
      </c>
      <c r="G12" s="14" t="n">
        <v>150</v>
      </c>
      <c r="H12" s="15" t="n">
        <v>0.35</v>
      </c>
      <c r="I12" s="8" t="n">
        <v>52.5</v>
      </c>
      <c r="J12" s="13" t="s">
        <v>26</v>
      </c>
      <c r="K12" s="3" t="n">
        <v>12</v>
      </c>
      <c r="L12" s="8" t="n">
        <f aca="false">I12*K12</f>
        <v>630</v>
      </c>
      <c r="M12" s="17" t="s">
        <v>30</v>
      </c>
    </row>
    <row r="13" customFormat="false" ht="15" hidden="false" customHeight="false" outlineLevel="0" collapsed="false">
      <c r="A13" s="3" t="n">
        <v>3</v>
      </c>
      <c r="B13" s="3" t="s">
        <v>31</v>
      </c>
      <c r="C13" s="3" t="s">
        <v>32</v>
      </c>
      <c r="D13" s="3" t="s">
        <v>28</v>
      </c>
      <c r="E13" s="13" t="s">
        <v>25</v>
      </c>
      <c r="F13" s="3" t="n">
        <v>1</v>
      </c>
      <c r="G13" s="14" t="n">
        <v>100</v>
      </c>
      <c r="H13" s="15" t="n">
        <v>0.35</v>
      </c>
      <c r="I13" s="8" t="n">
        <v>35</v>
      </c>
      <c r="J13" s="13" t="s">
        <v>26</v>
      </c>
      <c r="K13" s="3" t="n">
        <v>0</v>
      </c>
      <c r="L13" s="8" t="n">
        <f aca="false">I13*K13</f>
        <v>0</v>
      </c>
      <c r="M13" s="16" t="s">
        <v>27</v>
      </c>
    </row>
    <row r="14" customFormat="false" ht="15" hidden="false" customHeight="false" outlineLevel="0" collapsed="false">
      <c r="A14" s="3" t="n">
        <v>4</v>
      </c>
      <c r="B14" s="3" t="s">
        <v>33</v>
      </c>
      <c r="C14" s="3" t="s">
        <v>34</v>
      </c>
      <c r="D14" s="3" t="s">
        <v>28</v>
      </c>
      <c r="E14" s="13" t="s">
        <v>25</v>
      </c>
      <c r="F14" s="3" t="n">
        <v>1</v>
      </c>
      <c r="G14" s="14" t="n">
        <v>300</v>
      </c>
      <c r="H14" s="15" t="n">
        <v>0.35</v>
      </c>
      <c r="I14" s="8" t="n">
        <v>105</v>
      </c>
      <c r="J14" s="13" t="s">
        <v>26</v>
      </c>
      <c r="K14" s="3" t="n">
        <v>0</v>
      </c>
      <c r="L14" s="8" t="n">
        <f aca="false">I14*K14</f>
        <v>0</v>
      </c>
      <c r="M14" s="16" t="s">
        <v>35</v>
      </c>
    </row>
    <row r="15" customFormat="false" ht="15" hidden="false" customHeight="false" outlineLevel="0" collapsed="false">
      <c r="A15" s="3" t="n">
        <v>5</v>
      </c>
      <c r="B15" s="3" t="s">
        <v>36</v>
      </c>
      <c r="C15" s="3" t="s">
        <v>37</v>
      </c>
      <c r="D15" s="3" t="s">
        <v>28</v>
      </c>
      <c r="E15" s="13" t="s">
        <v>25</v>
      </c>
      <c r="F15" s="3" t="n">
        <v>1</v>
      </c>
      <c r="G15" s="14" t="n">
        <v>150</v>
      </c>
      <c r="H15" s="15" t="n">
        <v>0.35</v>
      </c>
      <c r="I15" s="8" t="n">
        <v>52.5</v>
      </c>
      <c r="J15" s="13" t="s">
        <v>26</v>
      </c>
      <c r="K15" s="3" t="n">
        <v>12</v>
      </c>
      <c r="L15" s="8" t="n">
        <f aca="false">I15*K15</f>
        <v>630</v>
      </c>
      <c r="M15" s="17" t="s">
        <v>30</v>
      </c>
    </row>
    <row r="16" customFormat="false" ht="15" hidden="false" customHeight="false" outlineLevel="0" collapsed="false">
      <c r="A16" s="3" t="n">
        <v>6</v>
      </c>
      <c r="B16" s="3" t="s">
        <v>38</v>
      </c>
      <c r="C16" s="3" t="s">
        <v>39</v>
      </c>
      <c r="D16" s="3" t="s">
        <v>40</v>
      </c>
      <c r="E16" s="13" t="s">
        <v>25</v>
      </c>
      <c r="F16" s="3" t="n">
        <v>1</v>
      </c>
      <c r="G16" s="14" t="n">
        <v>265</v>
      </c>
      <c r="H16" s="15" t="n">
        <v>0.3</v>
      </c>
      <c r="I16" s="8" t="n">
        <v>79.5</v>
      </c>
      <c r="J16" s="13" t="s">
        <v>26</v>
      </c>
      <c r="K16" s="3" t="n">
        <v>0</v>
      </c>
      <c r="L16" s="8" t="n">
        <f aca="false">I16*K16</f>
        <v>0</v>
      </c>
      <c r="M16" s="16" t="s">
        <v>41</v>
      </c>
    </row>
    <row r="17" customFormat="false" ht="15" hidden="false" customHeight="false" outlineLevel="0" collapsed="false">
      <c r="A17" s="3" t="n">
        <v>7</v>
      </c>
      <c r="B17" s="3" t="s">
        <v>42</v>
      </c>
      <c r="C17" s="3" t="s">
        <v>43</v>
      </c>
      <c r="D17" s="3" t="s">
        <v>40</v>
      </c>
      <c r="E17" s="13" t="s">
        <v>25</v>
      </c>
      <c r="F17" s="3" t="n">
        <v>1</v>
      </c>
      <c r="G17" s="14" t="n">
        <v>200</v>
      </c>
      <c r="H17" s="15" t="n">
        <v>0.3</v>
      </c>
      <c r="I17" s="8" t="n">
        <v>60</v>
      </c>
      <c r="J17" s="13" t="s">
        <v>26</v>
      </c>
      <c r="K17" s="3" t="n">
        <v>0</v>
      </c>
      <c r="L17" s="8" t="n">
        <f aca="false">I17*K17</f>
        <v>0</v>
      </c>
      <c r="M17" s="16" t="s">
        <v>27</v>
      </c>
    </row>
    <row r="18" customFormat="false" ht="15" hidden="false" customHeight="false" outlineLevel="0" collapsed="false">
      <c r="A18" s="3" t="n">
        <v>8</v>
      </c>
      <c r="B18" s="3" t="s">
        <v>44</v>
      </c>
      <c r="C18" s="3" t="s">
        <v>45</v>
      </c>
      <c r="D18" s="3" t="s">
        <v>40</v>
      </c>
      <c r="E18" s="13" t="s">
        <v>25</v>
      </c>
      <c r="F18" s="3" t="n">
        <v>1</v>
      </c>
      <c r="G18" s="14" t="n">
        <v>270</v>
      </c>
      <c r="H18" s="15" t="n">
        <v>0.3</v>
      </c>
      <c r="I18" s="8" t="n">
        <v>81</v>
      </c>
      <c r="J18" s="13" t="s">
        <v>26</v>
      </c>
      <c r="K18" s="3" t="n">
        <v>12</v>
      </c>
      <c r="L18" s="8" t="n">
        <f aca="false">I18*K18</f>
        <v>972</v>
      </c>
      <c r="M18" s="17" t="s">
        <v>30</v>
      </c>
    </row>
    <row r="19" customFormat="false" ht="15" hidden="false" customHeight="false" outlineLevel="0" collapsed="false">
      <c r="A19" s="3" t="n">
        <v>9</v>
      </c>
      <c r="B19" s="3" t="s">
        <v>46</v>
      </c>
      <c r="C19" s="3" t="s">
        <v>47</v>
      </c>
      <c r="D19" s="3" t="s">
        <v>40</v>
      </c>
      <c r="E19" s="13" t="s">
        <v>25</v>
      </c>
      <c r="F19" s="3" t="n">
        <v>1</v>
      </c>
      <c r="G19" s="14" t="n">
        <v>320</v>
      </c>
      <c r="H19" s="15" t="n">
        <v>0.3</v>
      </c>
      <c r="I19" s="8" t="n">
        <v>96</v>
      </c>
      <c r="J19" s="13" t="s">
        <v>26</v>
      </c>
      <c r="K19" s="3" t="n">
        <v>12</v>
      </c>
      <c r="L19" s="8" t="n">
        <f aca="false">I19*K19</f>
        <v>1152</v>
      </c>
      <c r="M19" s="17" t="s">
        <v>30</v>
      </c>
    </row>
    <row r="20" customFormat="false" ht="15" hidden="false" customHeight="false" outlineLevel="0" collapsed="false">
      <c r="A20" s="3" t="n">
        <v>10</v>
      </c>
      <c r="B20" s="3" t="s">
        <v>48</v>
      </c>
      <c r="C20" s="3" t="s">
        <v>49</v>
      </c>
      <c r="D20" s="3" t="s">
        <v>24</v>
      </c>
      <c r="E20" s="13" t="s">
        <v>25</v>
      </c>
      <c r="F20" s="3" t="n">
        <v>1</v>
      </c>
      <c r="G20" s="14" t="n">
        <v>200</v>
      </c>
      <c r="H20" s="15" t="n">
        <v>0.25</v>
      </c>
      <c r="I20" s="8" t="n">
        <v>50</v>
      </c>
      <c r="J20" s="13" t="s">
        <v>26</v>
      </c>
      <c r="K20" s="3" t="n">
        <v>0</v>
      </c>
      <c r="L20" s="8" t="n">
        <f aca="false">I20*K20</f>
        <v>0</v>
      </c>
      <c r="M20" s="16" t="s">
        <v>41</v>
      </c>
    </row>
  </sheetData>
  <autoFilter ref="A10:M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2026-10-19T12:02:13Z</dcterms:created>
  <dc:creator>openpyxl</dc:creator>
  <dc:description/>
  <dc:language>en-US</dc:language>
  <cp:lastModifiedBy/>
  <dcterms:modified xsi:type="dcterms:W3CDTF">2026-10-19T12:02:13Z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