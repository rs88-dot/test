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<sst xmlns="http://schemas.openxmlformats.org/spreadsheetml/2006/main" count="41" uniqueCount="36">
  <si>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</si>
  <si>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</si>
  <si>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</si>
  <si>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推薦者名</t>
  </si>
  <si>
    <t xml:space="preserve">Decillion Tokyo Co.,Ltd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</si>
  <si>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回お支払い。お支払い済みのご契約は今回は対象外（</t>
    </r>
    <r>
      <rPr>
        <sz val="9"/>
        <rFont val="Arial"/>
        <family val="0"/>
        <charset val="1"/>
      </rPr>
      <t xml:space="preserve">$0</t>
    </r>
    <r>
      <rPr>
        <sz val="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</si>
  <si>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</si>
  <si>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前月までの未払い（繰越）</t>
  </si>
  <si>
    <t xml:space="preserve">合計</t>
  </si>
  <si>
    <t xml:space="preserve">手数料</t>
  </si>
  <si>
    <t xml:space="preserve">今回お支払額</t>
  </si>
  <si>
    <t xml:space="preserve">支払月</t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</si>
  <si>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</si>
  <si>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</si>
  <si>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</si>
  <si>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</si>
  <si>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</si>
  <si>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</si>
  <si>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</si>
  <si>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</si>
  <si>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</si>
  <si>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</si>
  <si>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</si>
  <si>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お支払額</t>
  </si>
  <si>
    <t xml:space="preserve">備考</t>
  </si>
  <si>
    <r>
      <rPr>
        <b val="true"/>
        <sz val="10"/>
        <rFont val="Arial"/>
        <family val="0"/>
        <charset val="1"/>
      </rPr>
      <t xml:space="preserve">■ 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</si>
  <si>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2026.10</t>
  </si>
  <si>
    <t xml:space="preserve">T15W081363</t>
  </si>
  <si>
    <t xml:space="preserve">Natsuki Sakakibara</t>
  </si>
  <si>
    <t xml:space="preserve">SPX15-X</t>
  </si>
  <si>
    <t xml:space="preserve">基本プラン</t>
  </si>
  <si>
    <t xml:space="preserve">平準</t>
  </si>
  <si>
    <t xml:space="preserve">平準（毎月お支払い）</t>
  </si>
  <si>
    <t xml:space="preserve">T15W081742</t>
  </si>
  <si>
    <t xml:space="preserve">Kaoru Abe</t>
  </si>
  <si>
    <t xml:space="preserve">小計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</si>
</sst>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58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1547</v>
      </c>
      <c r="D3" s="4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M15</f>
        <v>0</v>
      </c>
    </row>
    <row r="6" customFormat="false" ht="15" hidden="false" customHeight="false" outlineLevel="0" collapsed="false">
      <c r="A6" s="2" t="s">
        <v>7</v>
      </c>
      <c r="B6" s="6" t="n">
        <v>0</v>
      </c>
    </row>
    <row r="7" customFormat="false" ht="15" hidden="false" customHeight="false" outlineLevel="0" collapsed="false">
      <c r="A7" s="2" t="s">
        <v>8</v>
      </c>
      <c r="B7" s="7" t="n">
        <f aca="false">B5+B6</f>
        <v>0</v>
      </c>
    </row>
    <row r="8" customFormat="false" ht="15" hidden="false" customHeight="false" outlineLevel="0" collapsed="false">
      <c r="A8" s="2" t="s">
        <v>9</v>
      </c>
      <c r="B8" s="6" t="n">
        <v>5</v>
      </c>
    </row>
    <row r="9" customFormat="false" ht="15" hidden="false" customHeight="false" outlineLevel="0" collapsed="false">
      <c r="A9" s="2" t="s">
        <v>10</v>
      </c>
      <c r="B9" s="8" t="n">
        <f aca="false">IF(INT(B7)&lt;=B8,0,INT(B7)-B8)</f>
        <v>0</v>
      </c>
    </row>
    <row r="11" customFormat="false" ht="26.85" hidden="false" customHeight="false" outlineLevel="0" collapsed="false">
      <c r="A11" s="9" t="s">
        <v>11</v>
      </c>
      <c r="B11" s="10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19</v>
      </c>
      <c r="J11" s="9" t="s">
        <v>20</v>
      </c>
      <c r="K11" s="9" t="s">
        <v>21</v>
      </c>
      <c r="L11" s="9" t="s">
        <v>22</v>
      </c>
      <c r="M11" s="9" t="s">
        <v>23</v>
      </c>
      <c r="N11" s="9" t="s">
        <v>24</v>
      </c>
    </row>
    <row r="12" customFormat="false" ht="15" hidden="false" customHeight="false" outlineLevel="0" collapsed="false">
      <c r="A12" s="11" t="s">
        <v>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3" t="s">
        <v>26</v>
      </c>
      <c r="B13" s="3" t="n">
        <v>1</v>
      </c>
      <c r="C13" s="3" t="s">
        <v>27</v>
      </c>
      <c r="D13" s="3" t="s">
        <v>28</v>
      </c>
      <c r="E13" s="3" t="s">
        <v>29</v>
      </c>
      <c r="F13" s="13" t="s">
        <v>30</v>
      </c>
      <c r="G13" s="3" t="n">
        <v>1</v>
      </c>
      <c r="H13" s="14" t="n">
        <v>200</v>
      </c>
      <c r="I13" s="15" t="n">
        <v>0</v>
      </c>
      <c r="J13" s="6" t="n">
        <v>0</v>
      </c>
      <c r="K13" s="13" t="s">
        <v>31</v>
      </c>
      <c r="L13" s="3" t="n">
        <v>1</v>
      </c>
      <c r="M13" s="6" t="n">
        <f aca="false">J13*L13</f>
        <v>0</v>
      </c>
      <c r="N13" s="16" t="s">
        <v>32</v>
      </c>
    </row>
    <row r="14" customFormat="false" ht="15" hidden="false" customHeight="false" outlineLevel="0" collapsed="false">
      <c r="A14" s="3" t="s">
        <v>26</v>
      </c>
      <c r="B14" s="3" t="n">
        <v>2</v>
      </c>
      <c r="C14" s="3" t="s">
        <v>33</v>
      </c>
      <c r="D14" s="3" t="s">
        <v>34</v>
      </c>
      <c r="E14" s="3" t="s">
        <v>29</v>
      </c>
      <c r="F14" s="13" t="s">
        <v>30</v>
      </c>
      <c r="G14" s="3" t="n">
        <v>1</v>
      </c>
      <c r="H14" s="14" t="n">
        <v>200</v>
      </c>
      <c r="I14" s="15" t="n">
        <v>0</v>
      </c>
      <c r="J14" s="6" t="n">
        <v>0</v>
      </c>
      <c r="K14" s="13" t="s">
        <v>31</v>
      </c>
      <c r="L14" s="3" t="n">
        <v>1</v>
      </c>
      <c r="M14" s="6" t="n">
        <f aca="false">J14*L14</f>
        <v>0</v>
      </c>
      <c r="N14" s="16" t="s">
        <v>32</v>
      </c>
    </row>
    <row r="15" customFormat="false" ht="15" hidden="false" customHeight="false" outlineLevel="0" collapsed="false">
      <c r="L15" s="17" t="s">
        <v>35</v>
      </c>
      <c r="M15" s="7" t="n">
        <f aca="false">SUM(M13:M14)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2026-10-18T15:21:58Z</dcterms:created>
  <dc:creator>openpyxl</dc:creator>
  <dc:description/>
  <dc:language>en-US</dc:language>
  <cp:lastModifiedBy/>
  <dcterms:modified xsi:type="dcterms:W3CDTF">2026-10-18T15:21:58Z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