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月明細" sheetId="1" state="visible" r:id="rId3"/>
  </sheets>
  <definedNames>
    <definedName function="false" hidden="true" localSheetId="0" name="_xlnm._FilterDatabase" vbProcedure="false">10月明細!$A$10:$M$15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<sst xmlns="http://schemas.openxmlformats.org/spreadsheetml/2006/main" count="53" uniqueCount="38">
  <si>
    <r>
      <rPr>
        <b val="true"/>
        <sz val="13"/>
        <rFont val="WenQuanYi Zen Hei"/>
        <family val="2"/>
      </rPr>
      <t xml:space="preserve">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</t>
    </r>
  </si>
  <si>
    <t xml:space="preserve">推薦者コード</t>
  </si>
  <si>
    <t xml:space="preserve">推薦者名</t>
  </si>
  <si>
    <t xml:space="preserve">Hidaka, Shingo</t>
  </si>
  <si>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月分合計</t>
    </r>
  </si>
  <si>
    <t xml:space="preserve">件数</t>
  </si>
  <si>
    <t xml:space="preserve">手数料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</si>
  <si>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</si>
  <si>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今回お支払額</t>
  </si>
  <si>
    <r>
      <rPr>
        <sz val="9"/>
        <rFont val="WenQuanYi Zen Hei"/>
        <family val="2"/>
      </rPr>
      <t xml:space="preserve">※みなし年払い：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年目は</t>
    </r>
    <r>
      <rPr>
        <sz val="9"/>
        <rFont val="Arial"/>
        <family val="0"/>
        <charset val="1"/>
      </rPr>
      <t xml:space="preserve">12</t>
    </r>
    <r>
      <rPr>
        <sz val="9"/>
        <rFont val="WenQuanYi Zen Hei"/>
        <family val="2"/>
      </rPr>
      <t xml:space="preserve">か月分を年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回お支払い（担当者変更の契約は弊社担当の残り月数分）。</t>
    </r>
    <r>
      <rPr>
        <sz val="9"/>
        <rFont val="Arial"/>
        <family val="0"/>
        <charset val="1"/>
      </rPr>
      <t xml:space="preserve">2</t>
    </r>
    <r>
      <rPr>
        <sz val="9"/>
        <rFont val="WenQuanYi Zen Hei"/>
        <family val="2"/>
      </rPr>
      <t xml:space="preserve">年目以降は平準（毎月）。</t>
    </r>
  </si>
  <si>
    <t xml:space="preserve">No</t>
  </si>
  <si>
    <t xml:space="preserve">プラン番号</t>
  </si>
  <si>
    <t xml:space="preserve">お客様名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</si>
  <si>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</si>
  <si>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</si>
  <si>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</si>
  <si>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</si>
  <si>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実質紹介料率</t>
  </si>
  <si>
    <t xml:space="preserve">月額コミッション</t>
  </si>
  <si>
    <t xml:space="preserve">支払区分</t>
  </si>
  <si>
    <t xml:space="preserve">支払倍率（か月分）</t>
  </si>
  <si>
    <t xml:space="preserve">備考</t>
  </si>
  <si>
    <t xml:space="preserve">T20W043976</t>
  </si>
  <si>
    <t xml:space="preserve">Toyohiro Sugai</t>
  </si>
  <si>
    <t xml:space="preserve">SPX20-X</t>
  </si>
  <si>
    <t xml:space="preserve">基本プラン</t>
  </si>
  <si>
    <t xml:space="preserve">みなし</t>
  </si>
  <si>
    <r>
      <rPr>
        <sz val="10"/>
        <rFont val="Arial"/>
        <family val="0"/>
        <charset val="1"/>
      </rPr>
      <t xml:space="preserve">2026.9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</si>
  <si>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EVO25</t>
  </si>
  <si>
    <r>
      <rPr>
        <sz val="10"/>
        <rFont val="WenQuanYi Zen Hei"/>
        <family val="2"/>
      </rPr>
      <t xml:space="preserve">ライダー</t>
    </r>
    <r>
      <rPr>
        <sz val="10"/>
        <rFont val="Arial"/>
        <family val="0"/>
        <charset val="1"/>
      </rPr>
      <t xml:space="preserve">1</t>
    </r>
  </si>
  <si>
    <t xml:space="preserve">T25W059146</t>
  </si>
  <si>
    <t xml:space="preserve">Kazuya Miyauchi</t>
  </si>
  <si>
    <r>
      <rPr>
        <sz val="10"/>
        <rFont val="WenQuanYi Zen Hei"/>
        <family val="2"/>
      </rPr>
      <t xml:space="preserve">みなし年払い（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か月分を一括）</t>
    </r>
  </si>
  <si>
    <t xml:space="preserve">T25W057542</t>
  </si>
  <si>
    <t xml:space="preserve">Masanobu Ichikawa</t>
  </si>
  <si>
    <r>
      <rPr>
        <sz val="10"/>
        <rFont val="Arial"/>
        <family val="0"/>
        <charset val="1"/>
      </rPr>
      <t xml:space="preserve">2026.7</t>
    </r>
    <r>
      <rPr>
        <sz val="10"/>
        <rFont val="WenQuanYi Zen Hei"/>
        <family val="2"/>
      </rPr>
      <t xml:space="preserve">に</t>
    </r>
    <r>
      <rPr>
        <sz val="10"/>
        <rFont val="Arial"/>
        <family val="0"/>
        <charset val="1"/>
      </rPr>
      <t xml:space="preserve">12</t>
    </r>
    <r>
      <rPr>
        <sz val="10"/>
        <rFont val="WenQuanYi Zen Hei"/>
        <family val="2"/>
      </rPr>
      <t xml:space="preserve">か月分お支払い済み（みなし年払いは年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回のため今回は対象外）</t>
    </r>
  </si>
  <si>
    <t xml:space="preserve">T20W044725</t>
  </si>
  <si>
    <t xml:space="preserve">Takaki Sakamoto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</si>
</sst>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-#,##0.00;\-"/>
    <numFmt numFmtId="166" formatCode="General"/>
    <numFmt numFmtId="167" formatCode="#,##0.00"/>
    <numFmt numFmtId="168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WenQuanYi Zen Hei"/>
      <family val="2"/>
    </font>
    <font>
      <b val="true"/>
      <sz val="13"/>
      <name val="Arial"/>
      <family val="0"/>
      <charset val="1"/>
    </font>
    <font>
      <b val="true"/>
      <sz val="10"/>
      <name val="WenQuanYi Zen Hei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WenQuanYi Zen Hei"/>
      <family val="2"/>
    </font>
    <font>
      <sz val="9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70"/>
  </cols>
  <sheetData>
    <row r="1" customFormat="false" ht="17.15" hidden="false" customHeight="false" outlineLevel="0" collapsed="false">
      <c r="A1" s="1" t="s">
        <v>0</v>
      </c>
    </row>
    <row r="3" customFormat="false" ht="15" hidden="false" customHeight="false" outlineLevel="0" collapsed="false">
      <c r="B3" s="2" t="s">
        <v>1</v>
      </c>
      <c r="C3" s="3" t="n">
        <v>1706</v>
      </c>
    </row>
    <row r="4" customFormat="false" ht="15" hidden="false" customHeight="false" outlineLevel="0" collapsed="false">
      <c r="B4" s="2" t="s">
        <v>2</v>
      </c>
      <c r="C4" s="3" t="s">
        <v>3</v>
      </c>
    </row>
    <row r="5" customFormat="false" ht="15" hidden="false" customHeight="false" outlineLevel="0" collapsed="false">
      <c r="B5" s="4" t="s">
        <v>4</v>
      </c>
      <c r="C5" s="5" t="n">
        <f aca="false">SUM(L11:L15)</f>
        <v>2100</v>
      </c>
      <c r="E5" s="6" t="s">
        <v>5</v>
      </c>
      <c r="F5" s="7" t="n">
        <f aca="false">COUNTA(B11:B15)</f>
        <v>5</v>
      </c>
    </row>
    <row r="6" customFormat="false" ht="15" hidden="false" customHeight="false" outlineLevel="0" collapsed="false">
      <c r="B6" s="2" t="s">
        <v>6</v>
      </c>
      <c r="C6" s="8" t="n">
        <v>5</v>
      </c>
      <c r="E6" s="9" t="s">
        <v>7</v>
      </c>
    </row>
    <row r="7" customFormat="false" ht="15" hidden="false" customHeight="false" outlineLevel="0" collapsed="false">
      <c r="B7" s="2" t="s">
        <v>8</v>
      </c>
      <c r="C7" s="10" t="n">
        <f aca="false">IF(INT(C5)&lt;=C6,0,INT(C5)-C6)</f>
        <v>2095</v>
      </c>
      <c r="E7" s="9" t="s">
        <v>9</v>
      </c>
    </row>
    <row r="10" customFormat="false" ht="39.55" hidden="false" customHeight="false" outlineLevel="0" collapsed="false">
      <c r="A10" s="11" t="s">
        <v>10</v>
      </c>
      <c r="B10" s="12" t="s">
        <v>11</v>
      </c>
      <c r="C10" s="12" t="s">
        <v>12</v>
      </c>
      <c r="D10" s="12" t="s">
        <v>13</v>
      </c>
      <c r="E10" s="12" t="s">
        <v>14</v>
      </c>
      <c r="F10" s="12" t="s">
        <v>15</v>
      </c>
      <c r="G10" s="12" t="s">
        <v>16</v>
      </c>
      <c r="H10" s="12" t="s">
        <v>17</v>
      </c>
      <c r="I10" s="12" t="s">
        <v>18</v>
      </c>
      <c r="J10" s="12" t="s">
        <v>19</v>
      </c>
      <c r="K10" s="12" t="s">
        <v>20</v>
      </c>
      <c r="L10" s="12" t="s">
        <v>8</v>
      </c>
      <c r="M10" s="12" t="s">
        <v>21</v>
      </c>
    </row>
    <row r="11" customFormat="false" ht="15" hidden="false" customHeight="false" outlineLevel="0" collapsed="false">
      <c r="A11" s="3" t="n">
        <v>1</v>
      </c>
      <c r="B11" s="3" t="s">
        <v>22</v>
      </c>
      <c r="C11" s="3" t="s">
        <v>23</v>
      </c>
      <c r="D11" s="3" t="s">
        <v>24</v>
      </c>
      <c r="E11" s="13" t="s">
        <v>25</v>
      </c>
      <c r="F11" s="3" t="n">
        <v>1</v>
      </c>
      <c r="G11" s="14" t="n">
        <v>200</v>
      </c>
      <c r="H11" s="15" t="n">
        <v>0.3</v>
      </c>
      <c r="I11" s="8" t="n">
        <v>60</v>
      </c>
      <c r="J11" s="13" t="s">
        <v>26</v>
      </c>
      <c r="K11" s="3" t="n">
        <v>0</v>
      </c>
      <c r="L11" s="8" t="n">
        <f aca="false">I11*K11</f>
        <v>0</v>
      </c>
      <c r="M11" s="16" t="s">
        <v>27</v>
      </c>
    </row>
    <row r="12" customFormat="false" ht="15" hidden="false" customHeight="false" outlineLevel="0" collapsed="false">
      <c r="A12" s="3" t="n">
        <v>2</v>
      </c>
      <c r="B12" s="3" t="s">
        <v>22</v>
      </c>
      <c r="C12" s="3" t="s">
        <v>23</v>
      </c>
      <c r="D12" s="3" t="s">
        <v>28</v>
      </c>
      <c r="E12" s="13" t="s">
        <v>29</v>
      </c>
      <c r="F12" s="3" t="n">
        <v>1</v>
      </c>
      <c r="G12" s="14" t="n">
        <v>150</v>
      </c>
      <c r="H12" s="15" t="n">
        <v>0.35</v>
      </c>
      <c r="I12" s="8" t="n">
        <v>52.5</v>
      </c>
      <c r="J12" s="13" t="s">
        <v>26</v>
      </c>
      <c r="K12" s="3" t="n">
        <v>0</v>
      </c>
      <c r="L12" s="8" t="n">
        <f aca="false">I12*K12</f>
        <v>0</v>
      </c>
      <c r="M12" s="16" t="s">
        <v>27</v>
      </c>
    </row>
    <row r="13" customFormat="false" ht="15" hidden="false" customHeight="false" outlineLevel="0" collapsed="false">
      <c r="A13" s="3" t="n">
        <v>3</v>
      </c>
      <c r="B13" s="3" t="s">
        <v>30</v>
      </c>
      <c r="C13" s="3" t="s">
        <v>31</v>
      </c>
      <c r="D13" s="3" t="s">
        <v>28</v>
      </c>
      <c r="E13" s="13" t="s">
        <v>25</v>
      </c>
      <c r="F13" s="3" t="n">
        <v>1</v>
      </c>
      <c r="G13" s="14" t="n">
        <v>500</v>
      </c>
      <c r="H13" s="15" t="n">
        <v>0.35</v>
      </c>
      <c r="I13" s="8" t="n">
        <v>175</v>
      </c>
      <c r="J13" s="13" t="s">
        <v>26</v>
      </c>
      <c r="K13" s="3" t="n">
        <v>12</v>
      </c>
      <c r="L13" s="8" t="n">
        <f aca="false">I13*K13</f>
        <v>2100</v>
      </c>
      <c r="M13" s="17" t="s">
        <v>32</v>
      </c>
    </row>
    <row r="14" customFormat="false" ht="15" hidden="false" customHeight="false" outlineLevel="0" collapsed="false">
      <c r="A14" s="3" t="n">
        <v>4</v>
      </c>
      <c r="B14" s="3" t="s">
        <v>33</v>
      </c>
      <c r="C14" s="3" t="s">
        <v>34</v>
      </c>
      <c r="D14" s="3" t="s">
        <v>28</v>
      </c>
      <c r="E14" s="13" t="s">
        <v>25</v>
      </c>
      <c r="F14" s="3" t="n">
        <v>1</v>
      </c>
      <c r="G14" s="14" t="n">
        <v>100</v>
      </c>
      <c r="H14" s="15" t="n">
        <v>0.35</v>
      </c>
      <c r="I14" s="8" t="n">
        <v>35</v>
      </c>
      <c r="J14" s="13" t="s">
        <v>26</v>
      </c>
      <c r="K14" s="3" t="n">
        <v>0</v>
      </c>
      <c r="L14" s="8" t="n">
        <f aca="false">I14*K14</f>
        <v>0</v>
      </c>
      <c r="M14" s="16" t="s">
        <v>35</v>
      </c>
    </row>
    <row r="15" customFormat="false" ht="15" hidden="false" customHeight="false" outlineLevel="0" collapsed="false">
      <c r="A15" s="3" t="n">
        <v>5</v>
      </c>
      <c r="B15" s="3" t="s">
        <v>36</v>
      </c>
      <c r="C15" s="3" t="s">
        <v>37</v>
      </c>
      <c r="D15" s="3" t="s">
        <v>24</v>
      </c>
      <c r="E15" s="13" t="s">
        <v>25</v>
      </c>
      <c r="F15" s="3" t="n">
        <v>1</v>
      </c>
      <c r="G15" s="14" t="n">
        <v>200</v>
      </c>
      <c r="H15" s="15" t="n">
        <v>0.3</v>
      </c>
      <c r="I15" s="8" t="n">
        <v>60</v>
      </c>
      <c r="J15" s="13" t="s">
        <v>26</v>
      </c>
      <c r="K15" s="3" t="n">
        <v>0</v>
      </c>
      <c r="L15" s="8" t="n">
        <f aca="false">I15*K15</f>
        <v>0</v>
      </c>
      <c r="M15" s="16" t="s">
        <v>27</v>
      </c>
    </row>
  </sheetData>
  <autoFilter ref="A10:M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2026-10-19T12:02:13Z</dcterms:created>
  <dc:creator>openpyxl</dc:creator>
  <dc:description/>
  <dc:language>en-US</dc:language>
  <cp:lastModifiedBy/>
  <dcterms:modified xsi:type="dcterms:W3CDTF">2026-10-19T12:02:13Z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