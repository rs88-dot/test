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3" yWindow="-103" windowWidth="19543" windowHeight="12377" tabRatio="600" firstSheet="0" activeTab="1" autoFilterDateGrouping="1"/>
  </bookViews>
  <sheets>
    <sheet name="3期サマリー" sheetId="1" state="visible" r:id="rId1"/>
    <sheet name="Sheet1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#,##0.00_ "/>
  </numFmts>
  <fonts count="6">
    <font>
      <name val="ＭＳ Ｐゴシック"/>
      <family val="2"/>
      <color theme="1"/>
      <sz val="11"/>
      <scheme val="minor"/>
    </font>
    <font>
      <name val="ＭＳ Ｐゴシック"/>
      <charset val="128"/>
      <family val="3"/>
      <b val="1"/>
      <color rgb="FFFFFFFF"/>
      <sz val="9"/>
    </font>
    <font>
      <name val="ＭＳ Ｐゴシック"/>
      <charset val="128"/>
      <family val="3"/>
      <b val="1"/>
      <color rgb="FFFFFFFF"/>
      <sz val="8"/>
    </font>
    <font>
      <name val="ＭＳ Ｐゴシック"/>
      <charset val="128"/>
      <family val="3"/>
      <sz val="9"/>
    </font>
    <font>
      <name val="ＭＳ Ｐゴシック"/>
      <charset val="128"/>
      <family val="3"/>
      <b val="1"/>
      <sz val="9"/>
    </font>
    <font>
      <name val="ＭＳ Ｐゴシック"/>
      <charset val="128"/>
      <family val="3"/>
      <sz val="6"/>
      <scheme val="minor"/>
    </font>
  </fonts>
  <fills count="12">
    <fill>
      <patternFill/>
    </fill>
    <fill>
      <patternFill patternType="gray125"/>
    </fill>
    <fill>
      <patternFill patternType="solid">
        <fgColor rgb="FF2F5496"/>
      </patternFill>
    </fill>
    <fill>
      <patternFill patternType="solid">
        <fgColor rgb="FF4472C4"/>
      </patternFill>
    </fill>
    <fill>
      <patternFill patternType="solid">
        <fgColor rgb="FF5B9BD5"/>
      </patternFill>
    </fill>
    <fill>
      <patternFill patternType="solid">
        <fgColor rgb="FF70AD47"/>
      </patternFill>
    </fill>
    <fill>
      <patternFill patternType="solid">
        <fgColor rgb="FFED7D31"/>
      </patternFill>
    </fill>
    <fill>
      <patternFill patternType="solid">
        <fgColor rgb="FF7030A0"/>
      </patternFill>
    </fill>
    <fill>
      <patternFill patternType="solid">
        <fgColor rgb="FFFFFFFF"/>
      </patternFill>
    </fill>
    <fill>
      <patternFill patternType="solid">
        <fgColor rgb="FFF2F2F2"/>
      </patternFill>
    </fill>
    <fill>
      <patternFill patternType="solid">
        <fgColor rgb="FFFFE699"/>
      </patternFill>
    </fill>
    <fill>
      <patternFill patternType="solid">
        <fgColor theme="0" tint="-0.1499984740745262"/>
        <bgColor indexed="64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3" fillId="8" borderId="1" pivotButton="0" quotePrefix="0" xfId="0"/>
    <xf numFmtId="0" fontId="3" fillId="8" borderId="1" applyAlignment="1" pivotButton="0" quotePrefix="0" xfId="0">
      <alignment horizontal="right"/>
    </xf>
    <xf numFmtId="0" fontId="3" fillId="9" borderId="1" pivotButton="0" quotePrefix="0" xfId="0"/>
    <xf numFmtId="0" fontId="3" fillId="9" borderId="1" applyAlignment="1" pivotButton="0" quotePrefix="0" xfId="0">
      <alignment horizontal="right"/>
    </xf>
    <xf numFmtId="0" fontId="4" fillId="10" borderId="1" pivotButton="0" quotePrefix="0" xfId="0"/>
    <xf numFmtId="0" fontId="4" fillId="10" borderId="1" applyAlignment="1" pivotButton="0" quotePrefix="0" xfId="0">
      <alignment horizontal="right"/>
    </xf>
    <xf numFmtId="0" fontId="0" fillId="0" borderId="2" pivotButton="0" quotePrefix="0" xfId="0"/>
    <xf numFmtId="4" fontId="0" fillId="0" borderId="2" applyAlignment="1" pivotButton="0" quotePrefix="0" xfId="0">
      <alignment vertical="center" wrapText="1"/>
    </xf>
    <xf numFmtId="0" fontId="0" fillId="11" borderId="2" applyAlignment="1" pivotButton="0" quotePrefix="0" xfId="0">
      <alignment horizontal="center"/>
    </xf>
    <xf numFmtId="14" fontId="0" fillId="0" borderId="2" applyAlignment="1" pivotButton="0" quotePrefix="0" xfId="0">
      <alignment vertical="center" wrapText="1"/>
    </xf>
    <xf numFmtId="164" fontId="0" fillId="0" borderId="2" pivotButton="0" quotePrefix="0" xfId="0"/>
    <xf numFmtId="4" fontId="0" fillId="0" borderId="2" applyAlignment="1" pivotButton="0" quotePrefix="0" xfId="0">
      <alignment horizontal="right" vertical="center" wrapText="1"/>
    </xf>
    <xf numFmtId="0" fontId="1" fillId="7" borderId="0" applyAlignment="1" pivotButton="0" quotePrefix="0" xfId="0">
      <alignment horizontal="center" vertical="center"/>
    </xf>
    <xf numFmtId="0" fontId="0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164" fontId="0" fillId="0" borderId="2" pivotButton="0" quotePrefix="0" xfId="0"/>
  </cellXfs>
  <cellStyles count="1">
    <cellStyle name="標準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314"/>
  <sheetViews>
    <sheetView workbookViewId="0">
      <pane xSplit="2" ySplit="2" topLeftCell="C304" activePane="bottomRight" state="frozen"/>
      <selection pane="topRight" activeCell="A1" sqref="A1"/>
      <selection pane="bottomLeft" activeCell="A1" sqref="A1"/>
      <selection pane="bottomRight" activeCell="A318" sqref="A318:XFD322"/>
    </sheetView>
  </sheetViews>
  <sheetFormatPr baseColWidth="8" defaultRowHeight="13.3"/>
  <cols>
    <col width="10" customWidth="1" style="20" min="1" max="1"/>
    <col width="32" customWidth="1" style="20" min="2" max="2"/>
    <col width="11" customWidth="1" style="20" min="3" max="3"/>
    <col width="15.921875" customWidth="1" style="20" min="4" max="4"/>
    <col width="18.3046875" customWidth="1" style="20" min="5" max="5"/>
    <col width="15.69140625" customWidth="1" style="20" min="6" max="6"/>
    <col width="19.69140625" customWidth="1" style="20" min="7" max="7"/>
    <col width="17.07421875" customWidth="1" style="20" min="8" max="8"/>
    <col width="11" customWidth="1" style="20" min="9" max="18"/>
    <col width="16" customWidth="1" style="20" min="19" max="19"/>
    <col width="14" customWidth="1" style="20" min="20" max="20"/>
    <col width="10" customWidth="1" style="20" min="21" max="21"/>
    <col width="20" customWidth="1" style="20" min="22" max="22"/>
    <col width="40" customWidth="1" style="20" min="23" max="23"/>
  </cols>
  <sheetData>
    <row r="1" ht="20.05" customHeight="1" s="20">
      <c r="A1" s="23" t="inlineStr">
        <is>
          <t>イントロデューサー</t>
        </is>
      </c>
      <c r="C1" s="21" t="inlineStr">
        <is>
          <t>2025-10-06</t>
        </is>
      </c>
      <c r="G1" s="22" t="inlineStr">
        <is>
          <t>2026-01-07</t>
        </is>
      </c>
      <c r="K1" s="24" t="inlineStr">
        <is>
          <t>2026-04-05</t>
        </is>
      </c>
      <c r="O1" s="25" t="inlineStr">
        <is>
          <t>3期合計</t>
        </is>
      </c>
      <c r="S1" s="19" t="inlineStr">
        <is>
          <t>イントロデューサー情報</t>
        </is>
      </c>
    </row>
    <row r="2" ht="30" customHeight="1" s="20">
      <c r="A2" s="1" t="inlineStr">
        <is>
          <t>Fコード</t>
        </is>
      </c>
      <c r="B2" s="1" t="inlineStr">
        <is>
          <t>イントロデューサー名</t>
        </is>
      </c>
      <c r="C2" s="2" t="inlineStr">
        <is>
          <t>件数</t>
        </is>
      </c>
      <c r="D2" s="2" t="inlineStr">
        <is>
          <t>T列合計
(イントロ分)</t>
        </is>
      </c>
      <c r="E2" s="2" t="inlineStr">
        <is>
          <t>V列合計
(Goo分)</t>
        </is>
      </c>
      <c r="F2" s="2" t="inlineStr">
        <is>
          <t>X列合計
(マネ分)</t>
        </is>
      </c>
      <c r="G2" s="3" t="inlineStr">
        <is>
          <t>件数</t>
        </is>
      </c>
      <c r="H2" s="3" t="inlineStr">
        <is>
          <t>T列合計
(イントロ分)</t>
        </is>
      </c>
      <c r="I2" s="3" t="inlineStr">
        <is>
          <t>V列合計
(Goo分)</t>
        </is>
      </c>
      <c r="J2" s="3" t="inlineStr">
        <is>
          <t>X列合計
(マネ分)</t>
        </is>
      </c>
      <c r="K2" s="4" t="inlineStr">
        <is>
          <t>件数</t>
        </is>
      </c>
      <c r="L2" s="4" t="inlineStr">
        <is>
          <t>T列合計
(イントロ分)</t>
        </is>
      </c>
      <c r="M2" s="4" t="inlineStr">
        <is>
          <t>V列合計
(Goo分)</t>
        </is>
      </c>
      <c r="N2" s="4" t="inlineStr">
        <is>
          <t>X列合計
(マネ分)</t>
        </is>
      </c>
      <c r="O2" s="5" t="inlineStr">
        <is>
          <t>合計件数</t>
        </is>
      </c>
      <c r="P2" s="5" t="inlineStr">
        <is>
          <t>合計T列
(イントロ分)</t>
        </is>
      </c>
      <c r="Q2" s="5" t="inlineStr">
        <is>
          <t>合計V列
(Goo分)</t>
        </is>
      </c>
      <c r="R2" s="5" t="inlineStr">
        <is>
          <t>合計X列
(マネ分)</t>
        </is>
      </c>
      <c r="S2" s="6" t="inlineStr">
        <is>
          <t>グループ</t>
        </is>
      </c>
      <c r="T2" s="6" t="inlineStr">
        <is>
          <t>小グループ</t>
        </is>
      </c>
      <c r="U2" s="6" t="inlineStr">
        <is>
          <t>状態</t>
        </is>
      </c>
      <c r="V2" s="6" t="inlineStr">
        <is>
          <t>備考</t>
        </is>
      </c>
      <c r="W2" s="6" t="inlineStr">
        <is>
          <t>備考（特別対応）</t>
        </is>
      </c>
    </row>
    <row r="3">
      <c r="A3" s="7" t="n">
        <v>562030</v>
      </c>
      <c r="B3" s="7" t="inlineStr">
        <is>
          <t>Grandir Co Ltd</t>
        </is>
      </c>
      <c r="C3" s="8" t="n">
        <v>235</v>
      </c>
      <c r="D3" s="8" t="n">
        <v>18461.24</v>
      </c>
      <c r="E3" s="8" t="n">
        <v>6153.75</v>
      </c>
      <c r="F3" s="8" t="n">
        <v>0</v>
      </c>
      <c r="G3" s="8" t="n">
        <v>235</v>
      </c>
      <c r="H3" s="8" t="n">
        <v>19186.25</v>
      </c>
      <c r="I3" s="8" t="n">
        <v>6395.41</v>
      </c>
      <c r="J3" s="8" t="n">
        <v>0</v>
      </c>
      <c r="K3" s="8" t="n">
        <v>233</v>
      </c>
      <c r="L3" s="8" t="n">
        <v>16640.54</v>
      </c>
      <c r="M3" s="8" t="n">
        <v>5546.85</v>
      </c>
      <c r="N3" s="8" t="n">
        <v>0</v>
      </c>
      <c r="O3" s="8" t="n">
        <v>703</v>
      </c>
      <c r="P3" s="8" t="n">
        <v>54288.02</v>
      </c>
      <c r="Q3" s="8" t="n">
        <v>18096.01</v>
      </c>
      <c r="R3" s="8" t="n">
        <v>0</v>
      </c>
      <c r="S3" s="7" t="inlineStr">
        <is>
          <t>10.竹田G</t>
        </is>
      </c>
      <c r="T3" s="7" t="n">
        <v>0</v>
      </c>
      <c r="U3" s="7" t="inlineStr">
        <is>
          <t>既得確保</t>
        </is>
      </c>
      <c r="V3" s="7" t="n"/>
      <c r="W3" s="7" t="inlineStr">
        <is>
          <t>グランディル、乾さん辻本さん・・・イントロデューサー分0.75%、Goo分は0.25%</t>
        </is>
      </c>
    </row>
    <row r="4">
      <c r="A4" s="9" t="n">
        <v>513087</v>
      </c>
      <c r="B4" s="9" t="inlineStr">
        <is>
          <t>Goo Property Singapore Pte. Ltd.</t>
        </is>
      </c>
      <c r="C4" s="10" t="n">
        <v>164</v>
      </c>
      <c r="D4" s="10" t="n">
        <v>5452.18</v>
      </c>
      <c r="E4" s="10" t="n">
        <v>5452.18</v>
      </c>
      <c r="F4" s="10" t="n">
        <v>0</v>
      </c>
      <c r="G4" s="10" t="n">
        <v>155</v>
      </c>
      <c r="H4" s="10" t="n">
        <v>5311.07</v>
      </c>
      <c r="I4" s="10" t="n">
        <v>5311.07</v>
      </c>
      <c r="J4" s="10" t="n">
        <v>0</v>
      </c>
      <c r="K4" s="10" t="n">
        <v>151</v>
      </c>
      <c r="L4" s="10" t="n">
        <v>4851.11</v>
      </c>
      <c r="M4" s="10" t="n">
        <v>4851.11</v>
      </c>
      <c r="N4" s="10" t="n">
        <v>0</v>
      </c>
      <c r="O4" s="10" t="n">
        <v>470</v>
      </c>
      <c r="P4" s="10" t="n">
        <v>15614.35</v>
      </c>
      <c r="Q4" s="10" t="n">
        <v>15614.35</v>
      </c>
      <c r="R4" s="10" t="n">
        <v>0</v>
      </c>
      <c r="S4" s="9" t="inlineStr">
        <is>
          <t>GA</t>
        </is>
      </c>
      <c r="T4" s="9" t="n">
        <v>0</v>
      </c>
      <c r="U4" s="9" t="inlineStr">
        <is>
          <t>アクティブ</t>
        </is>
      </c>
      <c r="V4" s="9" t="n"/>
      <c r="W4" s="9" t="n"/>
    </row>
    <row r="5">
      <c r="A5" s="7" t="n">
        <v>513720</v>
      </c>
      <c r="B5" s="7" t="inlineStr">
        <is>
          <t>Takahashi, Koji</t>
        </is>
      </c>
      <c r="C5" s="8" t="n">
        <v>47</v>
      </c>
      <c r="D5" s="8" t="n">
        <v>4465.59</v>
      </c>
      <c r="E5" s="8" t="n">
        <v>4465.59</v>
      </c>
      <c r="F5" s="8" t="n">
        <v>0</v>
      </c>
      <c r="G5" s="8" t="n">
        <v>47</v>
      </c>
      <c r="H5" s="8" t="n">
        <v>4489.35</v>
      </c>
      <c r="I5" s="8" t="n">
        <v>4489.35</v>
      </c>
      <c r="J5" s="8" t="n">
        <v>0</v>
      </c>
      <c r="K5" s="8" t="n">
        <v>47</v>
      </c>
      <c r="L5" s="8" t="n">
        <v>4278.85</v>
      </c>
      <c r="M5" s="8" t="n">
        <v>4278.85</v>
      </c>
      <c r="N5" s="8" t="n">
        <v>0</v>
      </c>
      <c r="O5" s="8" t="n">
        <v>141</v>
      </c>
      <c r="P5" s="8" t="n">
        <v>13233.79</v>
      </c>
      <c r="Q5" s="8" t="n">
        <v>13233.79</v>
      </c>
      <c r="R5" s="8" t="n">
        <v>0</v>
      </c>
      <c r="S5" s="7" t="inlineStr">
        <is>
          <t>個別</t>
        </is>
      </c>
      <c r="T5" s="7" t="n">
        <v>0</v>
      </c>
      <c r="U5" s="7" t="inlineStr">
        <is>
          <t>アクティブ</t>
        </is>
      </c>
      <c r="V5" s="7" t="n"/>
      <c r="W5" s="7" t="n"/>
    </row>
    <row r="6">
      <c r="A6" s="9" t="n">
        <v>513356</v>
      </c>
      <c r="B6" s="9" t="inlineStr">
        <is>
          <t>Kinoshita, Ryusuke</t>
        </is>
      </c>
      <c r="C6" s="10" t="n">
        <v>168</v>
      </c>
      <c r="D6" s="10" t="n">
        <v>4374.01</v>
      </c>
      <c r="E6" s="10" t="n">
        <v>4374.01</v>
      </c>
      <c r="F6" s="10" t="n">
        <v>0</v>
      </c>
      <c r="G6" s="10" t="n">
        <v>164</v>
      </c>
      <c r="H6" s="10" t="n">
        <v>4407.79</v>
      </c>
      <c r="I6" s="10" t="n">
        <v>4407.79</v>
      </c>
      <c r="J6" s="10" t="n">
        <v>0</v>
      </c>
      <c r="K6" s="10" t="n">
        <v>157</v>
      </c>
      <c r="L6" s="10" t="n">
        <v>4157.72</v>
      </c>
      <c r="M6" s="10" t="n">
        <v>4157.72</v>
      </c>
      <c r="N6" s="10" t="n">
        <v>0</v>
      </c>
      <c r="O6" s="10" t="n">
        <v>489</v>
      </c>
      <c r="P6" s="10" t="n">
        <v>12939.51</v>
      </c>
      <c r="Q6" s="10" t="n">
        <v>12939.51</v>
      </c>
      <c r="R6" s="10" t="n">
        <v>0</v>
      </c>
      <c r="S6" s="9" t="inlineStr">
        <is>
          <t>GA</t>
        </is>
      </c>
      <c r="T6" s="9" t="n">
        <v>0</v>
      </c>
      <c r="U6" s="9" t="inlineStr">
        <is>
          <t>アクティブ</t>
        </is>
      </c>
      <c r="V6" s="9" t="n"/>
      <c r="W6" s="9" t="n"/>
    </row>
    <row r="7">
      <c r="A7" s="7" t="n">
        <v>560579</v>
      </c>
      <c r="B7" s="7" t="inlineStr">
        <is>
          <t>Miyake, Hiroshi</t>
        </is>
      </c>
      <c r="C7" s="8" t="n">
        <v>135</v>
      </c>
      <c r="D7" s="8" t="n">
        <v>4078.56</v>
      </c>
      <c r="E7" s="8" t="n">
        <v>2039.28</v>
      </c>
      <c r="F7" s="8" t="n">
        <v>2039.28</v>
      </c>
      <c r="G7" s="8" t="n">
        <v>136</v>
      </c>
      <c r="H7" s="8" t="n">
        <v>4349.89</v>
      </c>
      <c r="I7" s="8" t="n">
        <v>2174.95</v>
      </c>
      <c r="J7" s="8" t="n">
        <v>2174.95</v>
      </c>
      <c r="K7" s="8" t="n">
        <v>134</v>
      </c>
      <c r="L7" s="8" t="n">
        <v>4228.95</v>
      </c>
      <c r="M7" s="8" t="n">
        <v>2114.47</v>
      </c>
      <c r="N7" s="8" t="n">
        <v>2114.47</v>
      </c>
      <c r="O7" s="8" t="n">
        <v>405</v>
      </c>
      <c r="P7" s="8" t="n">
        <v>12657.4</v>
      </c>
      <c r="Q7" s="8" t="n">
        <v>6328.7</v>
      </c>
      <c r="R7" s="8" t="n">
        <v>6328.7</v>
      </c>
      <c r="S7" s="7" t="inlineStr">
        <is>
          <t>報告する＞他社</t>
        </is>
      </c>
      <c r="T7" s="7" t="n"/>
      <c r="U7" s="7" t="n"/>
      <c r="V7" s="7" t="n"/>
      <c r="W7" s="7" t="inlineStr">
        <is>
          <t>三宅・道下さんに渡す・・・イントロデューサー分は三宅さんに、マネージャーフィー0.25%は道下さんに報告、Goo分は0.25%</t>
        </is>
      </c>
    </row>
    <row r="8">
      <c r="A8" s="9" t="n">
        <v>515312</v>
      </c>
      <c r="B8" s="9" t="inlineStr">
        <is>
          <t>WeLinkle Inc.</t>
        </is>
      </c>
      <c r="C8" s="10" t="n">
        <v>103</v>
      </c>
      <c r="D8" s="10" t="n">
        <v>3009.95</v>
      </c>
      <c r="E8" s="10" t="n">
        <v>3009.95</v>
      </c>
      <c r="F8" s="10" t="n">
        <v>0</v>
      </c>
      <c r="G8" s="10" t="n">
        <v>103</v>
      </c>
      <c r="H8" s="10" t="n">
        <v>3094.05</v>
      </c>
      <c r="I8" s="10" t="n">
        <v>3094.05</v>
      </c>
      <c r="J8" s="10" t="n">
        <v>0</v>
      </c>
      <c r="K8" s="10" t="n">
        <v>103</v>
      </c>
      <c r="L8" s="10" t="n">
        <v>2934.75</v>
      </c>
      <c r="M8" s="10" t="n">
        <v>2934.75</v>
      </c>
      <c r="N8" s="10" t="n">
        <v>0</v>
      </c>
      <c r="O8" s="10" t="n">
        <v>309</v>
      </c>
      <c r="P8" s="10" t="n">
        <v>9038.75</v>
      </c>
      <c r="Q8" s="10" t="n">
        <v>9038.75</v>
      </c>
      <c r="R8" s="10" t="n">
        <v>0</v>
      </c>
      <c r="S8" s="9" t="inlineStr">
        <is>
          <t>個別</t>
        </is>
      </c>
      <c r="T8" s="9" t="n">
        <v>0</v>
      </c>
      <c r="U8" s="9" t="inlineStr">
        <is>
          <t>既得確保</t>
        </is>
      </c>
      <c r="V8" s="9" t="n"/>
      <c r="W8" s="9" t="n"/>
    </row>
    <row r="9">
      <c r="A9" s="7" t="n">
        <v>513666</v>
      </c>
      <c r="B9" s="7" t="inlineStr">
        <is>
          <t>Asaka, Ryoichi</t>
        </is>
      </c>
      <c r="C9" s="8" t="n">
        <v>89</v>
      </c>
      <c r="D9" s="8" t="n">
        <v>3049.12</v>
      </c>
      <c r="E9" s="8" t="n">
        <v>3049.12</v>
      </c>
      <c r="F9" s="8" t="n">
        <v>0</v>
      </c>
      <c r="G9" s="8" t="n">
        <v>89</v>
      </c>
      <c r="H9" s="8" t="n">
        <v>3079.87</v>
      </c>
      <c r="I9" s="8" t="n">
        <v>3079.87</v>
      </c>
      <c r="J9" s="8" t="n">
        <v>0</v>
      </c>
      <c r="K9" s="8" t="n">
        <v>86</v>
      </c>
      <c r="L9" s="8" t="n">
        <v>2865.22</v>
      </c>
      <c r="M9" s="8" t="n">
        <v>2865.22</v>
      </c>
      <c r="N9" s="8" t="n">
        <v>0</v>
      </c>
      <c r="O9" s="8" t="n">
        <v>264</v>
      </c>
      <c r="P9" s="8" t="n">
        <v>8994.209999999999</v>
      </c>
      <c r="Q9" s="8" t="n">
        <v>8994.209999999999</v>
      </c>
      <c r="R9" s="8" t="n">
        <v>0</v>
      </c>
      <c r="S9" s="7" t="inlineStr">
        <is>
          <t>個別</t>
        </is>
      </c>
      <c r="T9" s="7" t="inlineStr">
        <is>
          <t>安積</t>
        </is>
      </c>
      <c r="U9" s="7" t="inlineStr">
        <is>
          <t>アクティブ</t>
        </is>
      </c>
      <c r="V9" s="7" t="n"/>
      <c r="W9" s="7" t="n"/>
    </row>
    <row r="10">
      <c r="A10" s="9" t="n">
        <v>562621</v>
      </c>
      <c r="B10" s="9" t="inlineStr">
        <is>
          <t>Onequest.inc</t>
        </is>
      </c>
      <c r="C10" s="10" t="n">
        <v>139</v>
      </c>
      <c r="D10" s="10" t="n">
        <v>2703.98</v>
      </c>
      <c r="E10" s="10" t="n">
        <v>2703.98</v>
      </c>
      <c r="F10" s="10" t="n">
        <v>0</v>
      </c>
      <c r="G10" s="10" t="n">
        <v>137</v>
      </c>
      <c r="H10" s="10" t="n">
        <v>2719.85</v>
      </c>
      <c r="I10" s="10" t="n">
        <v>2719.85</v>
      </c>
      <c r="J10" s="10" t="n">
        <v>0</v>
      </c>
      <c r="K10" s="10" t="n">
        <v>134</v>
      </c>
      <c r="L10" s="10" t="n">
        <v>2545.94</v>
      </c>
      <c r="M10" s="10" t="n">
        <v>2545.94</v>
      </c>
      <c r="N10" s="10" t="n">
        <v>0</v>
      </c>
      <c r="O10" s="10" t="n">
        <v>410</v>
      </c>
      <c r="P10" s="10" t="n">
        <v>7969.77</v>
      </c>
      <c r="Q10" s="10" t="n">
        <v>7969.77</v>
      </c>
      <c r="R10" s="10" t="n">
        <v>0</v>
      </c>
      <c r="S10" s="9" t="inlineStr">
        <is>
          <t>11.フミヤG</t>
        </is>
      </c>
      <c r="T10" s="9" t="n">
        <v>0</v>
      </c>
      <c r="U10" s="9" t="inlineStr">
        <is>
          <t>既得確保</t>
        </is>
      </c>
      <c r="V10" s="9" t="n"/>
      <c r="W10" s="9" t="n"/>
    </row>
    <row r="11">
      <c r="A11" s="7" t="n">
        <v>580063</v>
      </c>
      <c r="B11" s="7" t="inlineStr">
        <is>
          <t>Wan Trade Limited LLC</t>
        </is>
      </c>
      <c r="C11" s="8" t="n">
        <v>58</v>
      </c>
      <c r="D11" s="8" t="n">
        <v>1916.99</v>
      </c>
      <c r="E11" s="8" t="n">
        <v>639</v>
      </c>
      <c r="F11" s="8" t="n">
        <v>0</v>
      </c>
      <c r="G11" s="8" t="n">
        <v>82</v>
      </c>
      <c r="H11" s="8" t="n">
        <v>2774.49</v>
      </c>
      <c r="I11" s="8" t="n">
        <v>924.83</v>
      </c>
      <c r="J11" s="8" t="n">
        <v>0</v>
      </c>
      <c r="K11" s="8" t="n">
        <v>92</v>
      </c>
      <c r="L11" s="8" t="n">
        <v>2758.8</v>
      </c>
      <c r="M11" s="8" t="n">
        <v>919.6</v>
      </c>
      <c r="N11" s="8" t="n">
        <v>0</v>
      </c>
      <c r="O11" s="8" t="n">
        <v>232</v>
      </c>
      <c r="P11" s="8" t="n">
        <v>7450.28</v>
      </c>
      <c r="Q11" s="8" t="n">
        <v>2483.43</v>
      </c>
      <c r="R11" s="8" t="n">
        <v>0</v>
      </c>
      <c r="S11" s="7" t="inlineStr">
        <is>
          <t>22.乾さんG</t>
        </is>
      </c>
      <c r="T11" s="7" t="n">
        <v>0</v>
      </c>
      <c r="U11" s="7" t="inlineStr">
        <is>
          <t>アクティブ</t>
        </is>
      </c>
      <c r="V11" s="7" t="n"/>
      <c r="W11" s="7" t="inlineStr">
        <is>
          <t>グランディル、乾さん辻本さん・・・イントロデューサー分0.75%、Goo分は0.25%</t>
        </is>
      </c>
    </row>
    <row r="12">
      <c r="A12" s="9" t="n">
        <v>570003</v>
      </c>
      <c r="B12" s="9" t="inlineStr">
        <is>
          <t>Shibata, Naotada</t>
        </is>
      </c>
      <c r="C12" s="10" t="n">
        <v>101</v>
      </c>
      <c r="D12" s="10" t="n">
        <v>2230.68</v>
      </c>
      <c r="E12" s="10" t="n">
        <v>1115.34</v>
      </c>
      <c r="F12" s="10" t="n">
        <v>1115.34</v>
      </c>
      <c r="G12" s="10" t="n">
        <v>104</v>
      </c>
      <c r="H12" s="10" t="n">
        <v>2443.46</v>
      </c>
      <c r="I12" s="10" t="n">
        <v>1221.73</v>
      </c>
      <c r="J12" s="10" t="n">
        <v>1221.73</v>
      </c>
      <c r="K12" s="10" t="n">
        <v>106</v>
      </c>
      <c r="L12" s="10" t="n">
        <v>2409.3</v>
      </c>
      <c r="M12" s="10" t="n">
        <v>1204.65</v>
      </c>
      <c r="N12" s="10" t="n">
        <v>1204.65</v>
      </c>
      <c r="O12" s="10" t="n">
        <v>311</v>
      </c>
      <c r="P12" s="10" t="n">
        <v>7083.43</v>
      </c>
      <c r="Q12" s="10" t="n">
        <v>3541.72</v>
      </c>
      <c r="R12" s="10" t="n">
        <v>3541.72</v>
      </c>
      <c r="S12" s="9" t="inlineStr">
        <is>
          <t>12.脇坂G</t>
        </is>
      </c>
      <c r="T12" s="9" t="inlineStr">
        <is>
          <t>4 Capital 傘下</t>
        </is>
      </c>
      <c r="U12" s="9" t="inlineStr">
        <is>
          <t>アクティブ</t>
        </is>
      </c>
      <c r="V12" s="9" t="n"/>
      <c r="W12" s="9" t="inlineStr">
        <is>
          <t>脇坂グループ・・・イントロデューサー分も、マネージャーフィー0.25%も脇坂さんに報告、Goo分は0.25%</t>
        </is>
      </c>
    </row>
    <row r="13">
      <c r="A13" s="7" t="n">
        <v>572855</v>
      </c>
      <c r="B13" s="7" t="inlineStr">
        <is>
          <t>Ito, Takahiro</t>
        </is>
      </c>
      <c r="C13" s="8" t="n">
        <v>193</v>
      </c>
      <c r="D13" s="8" t="n">
        <v>2021.85</v>
      </c>
      <c r="E13" s="8" t="n">
        <v>2021.85</v>
      </c>
      <c r="F13" s="8" t="n">
        <v>0</v>
      </c>
      <c r="G13" s="8" t="n">
        <v>200</v>
      </c>
      <c r="H13" s="8" t="n">
        <v>2239.79</v>
      </c>
      <c r="I13" s="8" t="n">
        <v>2239.79</v>
      </c>
      <c r="J13" s="8" t="n">
        <v>0</v>
      </c>
      <c r="K13" s="8" t="n">
        <v>207</v>
      </c>
      <c r="L13" s="8" t="n">
        <v>2407.93</v>
      </c>
      <c r="M13" s="8" t="n">
        <v>2407.93</v>
      </c>
      <c r="N13" s="8" t="n">
        <v>0</v>
      </c>
      <c r="O13" s="8" t="n">
        <v>600</v>
      </c>
      <c r="P13" s="8" t="n">
        <v>6669.58</v>
      </c>
      <c r="Q13" s="8" t="n">
        <v>6669.58</v>
      </c>
      <c r="R13" s="8" t="n">
        <v>0</v>
      </c>
      <c r="S13" s="7" t="inlineStr">
        <is>
          <t>個別</t>
        </is>
      </c>
      <c r="T13" s="7" t="inlineStr">
        <is>
          <t>Raftel GK</t>
        </is>
      </c>
      <c r="U13" s="7" t="inlineStr">
        <is>
          <t>アクティブ</t>
        </is>
      </c>
      <c r="V13" s="7" t="n"/>
      <c r="W13" s="7" t="n"/>
    </row>
    <row r="14">
      <c r="A14" s="9" t="n">
        <v>515112</v>
      </c>
      <c r="B14" s="9" t="inlineStr">
        <is>
          <t>FTwork Co., Ltd.</t>
        </is>
      </c>
      <c r="C14" s="10" t="n">
        <v>141</v>
      </c>
      <c r="D14" s="10" t="n">
        <v>3904.62</v>
      </c>
      <c r="E14" s="10" t="n">
        <v>1005.86</v>
      </c>
      <c r="F14" s="10" t="n">
        <v>1005.86</v>
      </c>
      <c r="G14" s="10" t="n">
        <v>139</v>
      </c>
      <c r="H14" s="10" t="n">
        <v>4187.91</v>
      </c>
      <c r="I14" s="10" t="n">
        <v>1079.37</v>
      </c>
      <c r="J14" s="10" t="n">
        <v>1079.37</v>
      </c>
      <c r="K14" s="10" t="n">
        <v>139</v>
      </c>
      <c r="L14" s="10" t="n">
        <v>4375.81</v>
      </c>
      <c r="M14" s="10" t="n">
        <v>1115.53</v>
      </c>
      <c r="N14" s="10" t="n">
        <v>1115.53</v>
      </c>
      <c r="O14" s="10" t="n">
        <v>419</v>
      </c>
      <c r="P14" s="10" t="n">
        <v>12468.35</v>
      </c>
      <c r="Q14" s="10" t="n">
        <v>3200.77</v>
      </c>
      <c r="R14" s="10" t="n">
        <v>3200.77</v>
      </c>
      <c r="S14" s="9" t="inlineStr">
        <is>
          <t>1.道下G</t>
        </is>
      </c>
      <c r="T14" s="9" t="inlineStr">
        <is>
          <t>杉本G</t>
        </is>
      </c>
      <c r="U14" s="9" t="inlineStr">
        <is>
          <t>移籍</t>
        </is>
      </c>
      <c r="V14" s="9" t="inlineStr">
        <is>
          <t>全ファイルに記録なし</t>
        </is>
      </c>
      <c r="W14" s="9" t="inlineStr">
        <is>
          <t>道下グループ・・・イントロデューサー分も、マネージャーフィー0.25%も道下さんに報告、Goo分は0.25%</t>
        </is>
      </c>
    </row>
    <row r="15">
      <c r="A15" s="7" t="n">
        <v>571658</v>
      </c>
      <c r="B15" s="7" t="inlineStr">
        <is>
          <t>Ishikura, Naoto</t>
        </is>
      </c>
      <c r="C15" s="8" t="n">
        <v>103</v>
      </c>
      <c r="D15" s="8" t="n">
        <v>2636.27</v>
      </c>
      <c r="E15" s="8" t="n">
        <v>1318.13</v>
      </c>
      <c r="F15" s="8" t="n">
        <v>1318.13</v>
      </c>
      <c r="G15" s="8" t="n">
        <v>85</v>
      </c>
      <c r="H15" s="8" t="n">
        <v>1719.06</v>
      </c>
      <c r="I15" s="8" t="n">
        <v>859.53</v>
      </c>
      <c r="J15" s="8" t="n">
        <v>859.53</v>
      </c>
      <c r="K15" s="8" t="n">
        <v>85</v>
      </c>
      <c r="L15" s="8" t="n">
        <v>1737.87</v>
      </c>
      <c r="M15" s="8" t="n">
        <v>868.9400000000001</v>
      </c>
      <c r="N15" s="8" t="n">
        <v>868.9400000000001</v>
      </c>
      <c r="O15" s="8" t="n">
        <v>273</v>
      </c>
      <c r="P15" s="8" t="n">
        <v>6093.2</v>
      </c>
      <c r="Q15" s="8" t="n">
        <v>3046.6</v>
      </c>
      <c r="R15" s="8" t="n">
        <v>3046.6</v>
      </c>
      <c r="S15" s="7" t="inlineStr">
        <is>
          <t>12.脇坂G</t>
        </is>
      </c>
      <c r="T15" s="7" t="inlineStr">
        <is>
          <t>Onely G</t>
        </is>
      </c>
      <c r="U15" s="7" t="inlineStr">
        <is>
          <t>アクティブ</t>
        </is>
      </c>
      <c r="V15" s="7" t="n"/>
      <c r="W15" s="7" t="inlineStr">
        <is>
          <t>脇坂グループ・・・イントロデューサー分も、マネージャーフィー0.25%も脇坂さんに報告、Goo分は0.25%</t>
        </is>
      </c>
    </row>
    <row r="16">
      <c r="A16" s="9" t="n">
        <v>569953</v>
      </c>
      <c r="B16" s="9" t="inlineStr">
        <is>
          <t>Wakisaka, Naoyuki</t>
        </is>
      </c>
      <c r="C16" s="10" t="n">
        <v>75</v>
      </c>
      <c r="D16" s="10" t="n">
        <v>2568.82</v>
      </c>
      <c r="E16" s="10" t="n">
        <v>642.39</v>
      </c>
      <c r="F16" s="10" t="n">
        <v>642.39</v>
      </c>
      <c r="G16" s="10" t="n">
        <v>74</v>
      </c>
      <c r="H16" s="10" t="n">
        <v>2675.34</v>
      </c>
      <c r="I16" s="10" t="n">
        <v>652.1</v>
      </c>
      <c r="J16" s="10" t="n">
        <v>652.1</v>
      </c>
      <c r="K16" s="10" t="n">
        <v>74</v>
      </c>
      <c r="L16" s="10" t="n">
        <v>2678.37</v>
      </c>
      <c r="M16" s="10" t="n">
        <v>657.5700000000001</v>
      </c>
      <c r="N16" s="10" t="n">
        <v>657.5700000000001</v>
      </c>
      <c r="O16" s="10" t="n">
        <v>223</v>
      </c>
      <c r="P16" s="10" t="n">
        <v>7922.53</v>
      </c>
      <c r="Q16" s="10" t="n">
        <v>1952.07</v>
      </c>
      <c r="R16" s="10" t="n">
        <v>1952.07</v>
      </c>
      <c r="S16" s="9" t="inlineStr">
        <is>
          <t>12.脇坂G</t>
        </is>
      </c>
      <c r="T16" s="9" t="inlineStr">
        <is>
          <t>4 Capital 傘下</t>
        </is>
      </c>
      <c r="U16" s="9" t="inlineStr">
        <is>
          <t>アクティブ</t>
        </is>
      </c>
      <c r="V16" s="9" t="n"/>
      <c r="W16" s="9" t="inlineStr">
        <is>
          <t>脇坂グループ・・・イントロデューサー分も、マネージャーフィー0.25%も脇坂さんに報告、Goo分は0.25%</t>
        </is>
      </c>
    </row>
    <row r="17">
      <c r="A17" s="7" t="n">
        <v>562809</v>
      </c>
      <c r="B17" s="7" t="inlineStr">
        <is>
          <t>Hirano, Naho</t>
        </is>
      </c>
      <c r="C17" s="8" t="n">
        <v>39</v>
      </c>
      <c r="D17" s="8" t="n">
        <v>1821.57</v>
      </c>
      <c r="E17" s="8" t="n">
        <v>1791.9</v>
      </c>
      <c r="F17" s="8" t="n">
        <v>0</v>
      </c>
      <c r="G17" s="8" t="n">
        <v>38</v>
      </c>
      <c r="H17" s="8" t="n">
        <v>1642.45</v>
      </c>
      <c r="I17" s="8" t="n">
        <v>1613.32</v>
      </c>
      <c r="J17" s="8" t="n">
        <v>0</v>
      </c>
      <c r="K17" s="8" t="n">
        <v>42</v>
      </c>
      <c r="L17" s="8" t="n">
        <v>1584.25</v>
      </c>
      <c r="M17" s="8" t="n">
        <v>1557.57</v>
      </c>
      <c r="N17" s="8" t="n">
        <v>0</v>
      </c>
      <c r="O17" s="8" t="n">
        <v>119</v>
      </c>
      <c r="P17" s="8" t="n">
        <v>5048.28</v>
      </c>
      <c r="Q17" s="8" t="n">
        <v>4962.8</v>
      </c>
      <c r="R17" s="8" t="n">
        <v>0</v>
      </c>
      <c r="S17" s="7" t="inlineStr">
        <is>
          <t>個別</t>
        </is>
      </c>
      <c r="T17" s="7" t="n">
        <v>0</v>
      </c>
      <c r="U17" s="7" t="inlineStr">
        <is>
          <t>アクティブ</t>
        </is>
      </c>
      <c r="V17" s="7" t="n"/>
      <c r="W17" s="7" t="n"/>
    </row>
    <row r="18">
      <c r="A18" s="9" t="n">
        <v>570002</v>
      </c>
      <c r="B18" s="9" t="inlineStr">
        <is>
          <t>Ando, Jun</t>
        </is>
      </c>
      <c r="C18" s="10" t="n">
        <v>68</v>
      </c>
      <c r="D18" s="10" t="n">
        <v>2486.8</v>
      </c>
      <c r="E18" s="10" t="n">
        <v>1243.4</v>
      </c>
      <c r="F18" s="10" t="n">
        <v>1243.4</v>
      </c>
      <c r="G18" s="10" t="n">
        <v>68</v>
      </c>
      <c r="H18" s="10" t="n">
        <v>2707.04</v>
      </c>
      <c r="I18" s="10" t="n">
        <v>1353.52</v>
      </c>
      <c r="J18" s="10" t="n">
        <v>1353.52</v>
      </c>
      <c r="K18" s="10" t="n">
        <v>68</v>
      </c>
      <c r="L18" s="10" t="n">
        <v>2737.74</v>
      </c>
      <c r="M18" s="10" t="n">
        <v>1368.87</v>
      </c>
      <c r="N18" s="10" t="n">
        <v>1309.62</v>
      </c>
      <c r="O18" s="10" t="n">
        <v>204</v>
      </c>
      <c r="P18" s="10" t="n">
        <v>7931.57</v>
      </c>
      <c r="Q18" s="10" t="n">
        <v>3965.79</v>
      </c>
      <c r="R18" s="10" t="n">
        <v>3906.53</v>
      </c>
      <c r="S18" s="9" t="inlineStr">
        <is>
          <t>12.脇坂G</t>
        </is>
      </c>
      <c r="T18" s="9" t="inlineStr">
        <is>
          <t>4 Capital 傘下</t>
        </is>
      </c>
      <c r="U18" s="9" t="inlineStr">
        <is>
          <t>アクティブ</t>
        </is>
      </c>
      <c r="V18" s="9" t="n"/>
      <c r="W18" s="9" t="inlineStr">
        <is>
          <t>脇坂グループ・・・イントロデューサー分も、マネージャーフィー0.25%も脇坂さんに報告、Goo分は0.25%</t>
        </is>
      </c>
    </row>
    <row r="19">
      <c r="A19" s="7" t="n">
        <v>514088</v>
      </c>
      <c r="B19" s="7" t="inlineStr">
        <is>
          <t>Nakazato, Jin</t>
        </is>
      </c>
      <c r="C19" s="8" t="n">
        <v>25</v>
      </c>
      <c r="D19" s="8" t="n">
        <v>1328.39</v>
      </c>
      <c r="E19" s="8" t="n">
        <v>1328.39</v>
      </c>
      <c r="F19" s="8" t="n">
        <v>0</v>
      </c>
      <c r="G19" s="8" t="n">
        <v>25</v>
      </c>
      <c r="H19" s="8" t="n">
        <v>1352.56</v>
      </c>
      <c r="I19" s="8" t="n">
        <v>1352.56</v>
      </c>
      <c r="J19" s="8" t="n">
        <v>0</v>
      </c>
      <c r="K19" s="8" t="n">
        <v>25</v>
      </c>
      <c r="L19" s="8" t="n">
        <v>1282.91</v>
      </c>
      <c r="M19" s="8" t="n">
        <v>1282.91</v>
      </c>
      <c r="N19" s="8" t="n">
        <v>0</v>
      </c>
      <c r="O19" s="8" t="n">
        <v>75</v>
      </c>
      <c r="P19" s="8" t="n">
        <v>3963.86</v>
      </c>
      <c r="Q19" s="8" t="n">
        <v>3963.86</v>
      </c>
      <c r="R19" s="8" t="n">
        <v>0</v>
      </c>
      <c r="S19" s="7" t="inlineStr">
        <is>
          <t>個別</t>
        </is>
      </c>
      <c r="T19" s="7" t="n">
        <v>0</v>
      </c>
      <c r="U19" s="7" t="inlineStr">
        <is>
          <t>既得確保</t>
        </is>
      </c>
      <c r="V19" s="7" t="n"/>
      <c r="W19" s="7" t="n"/>
    </row>
    <row r="20">
      <c r="A20" s="9" t="n">
        <v>566662</v>
      </c>
      <c r="B20" s="9" t="inlineStr">
        <is>
          <t>Ootomo, Toshirou</t>
        </is>
      </c>
      <c r="C20" s="10" t="n">
        <v>184</v>
      </c>
      <c r="D20" s="10" t="n">
        <v>2570.68</v>
      </c>
      <c r="E20" s="10" t="n">
        <v>650.8099999999999</v>
      </c>
      <c r="F20" s="10" t="n">
        <v>650.8099999999999</v>
      </c>
      <c r="G20" s="10" t="n">
        <v>183</v>
      </c>
      <c r="H20" s="10" t="n">
        <v>2812.58</v>
      </c>
      <c r="I20" s="10" t="n">
        <v>712.1799999999999</v>
      </c>
      <c r="J20" s="10" t="n">
        <v>712.1799999999999</v>
      </c>
      <c r="K20" s="10" t="n">
        <v>179</v>
      </c>
      <c r="L20" s="10" t="n">
        <v>1808.07</v>
      </c>
      <c r="M20" s="10" t="n">
        <v>462.2</v>
      </c>
      <c r="N20" s="10" t="n">
        <v>462.2</v>
      </c>
      <c r="O20" s="10" t="n">
        <v>546</v>
      </c>
      <c r="P20" s="10" t="n">
        <v>7191.33</v>
      </c>
      <c r="Q20" s="10" t="n">
        <v>1825.2</v>
      </c>
      <c r="R20" s="10" t="n">
        <v>1825.2</v>
      </c>
      <c r="S20" s="9" t="inlineStr">
        <is>
          <t>1.道下G</t>
        </is>
      </c>
      <c r="T20" s="9" t="inlineStr">
        <is>
          <t>小宮山G</t>
        </is>
      </c>
      <c r="U20" s="9" t="inlineStr">
        <is>
          <t>移籍</t>
        </is>
      </c>
      <c r="V20" s="9" t="inlineStr">
        <is>
          <t>全ファイルに記録なし</t>
        </is>
      </c>
      <c r="W20" s="9" t="inlineStr">
        <is>
          <t>道下グループ・・・イントロデューサー分も、マネージャーフィー0.25%も道下さんに報告、Goo分は0.25%</t>
        </is>
      </c>
    </row>
    <row r="21">
      <c r="A21" s="7" t="n">
        <v>566533</v>
      </c>
      <c r="B21" s="7" t="inlineStr">
        <is>
          <t>Fluctu LLC</t>
        </is>
      </c>
      <c r="C21" s="8" t="n">
        <v>60</v>
      </c>
      <c r="D21" s="8" t="n">
        <v>1086.48</v>
      </c>
      <c r="E21" s="8" t="n">
        <v>532.4299999999999</v>
      </c>
      <c r="F21" s="8" t="n">
        <v>532.4299999999999</v>
      </c>
      <c r="G21" s="8" t="n">
        <v>58</v>
      </c>
      <c r="H21" s="8" t="n">
        <v>1156.38</v>
      </c>
      <c r="I21" s="8" t="n">
        <v>568.61</v>
      </c>
      <c r="J21" s="8" t="n">
        <v>568.61</v>
      </c>
      <c r="K21" s="8" t="n">
        <v>54</v>
      </c>
      <c r="L21" s="8" t="n">
        <v>1055.11</v>
      </c>
      <c r="M21" s="8" t="n">
        <v>517.22</v>
      </c>
      <c r="N21" s="8" t="n">
        <v>517.22</v>
      </c>
      <c r="O21" s="8" t="n">
        <v>172</v>
      </c>
      <c r="P21" s="8" t="n">
        <v>3297.97</v>
      </c>
      <c r="Q21" s="8" t="n">
        <v>1618.26</v>
      </c>
      <c r="R21" s="8" t="n">
        <v>1618.26</v>
      </c>
      <c r="S21" s="7" t="inlineStr">
        <is>
          <t>1.道下G</t>
        </is>
      </c>
      <c r="T21" s="7" t="inlineStr">
        <is>
          <t>小宮山G</t>
        </is>
      </c>
      <c r="U21" s="7" t="inlineStr">
        <is>
          <t>移籍</t>
        </is>
      </c>
      <c r="V21" s="7" t="n"/>
      <c r="W21" s="7" t="inlineStr">
        <is>
          <t>道下グループ・・・イントロデューサー分も、マネージャーフィー0.25%も道下さんに報告、Goo分は0.25%</t>
        </is>
      </c>
    </row>
    <row r="22">
      <c r="A22" s="9" t="n">
        <v>564853</v>
      </c>
      <c r="B22" s="9" t="inlineStr">
        <is>
          <t>Ando, Shoichiro</t>
        </is>
      </c>
      <c r="C22" s="10" t="n">
        <v>42</v>
      </c>
      <c r="D22" s="10" t="n">
        <v>1014.77</v>
      </c>
      <c r="E22" s="10" t="n">
        <v>830.39</v>
      </c>
      <c r="F22" s="10" t="n">
        <v>0</v>
      </c>
      <c r="G22" s="10" t="n">
        <v>42</v>
      </c>
      <c r="H22" s="10" t="n">
        <v>1077.92</v>
      </c>
      <c r="I22" s="10" t="n">
        <v>817.04</v>
      </c>
      <c r="J22" s="10" t="n">
        <v>0</v>
      </c>
      <c r="K22" s="10" t="n">
        <v>43</v>
      </c>
      <c r="L22" s="10" t="n">
        <v>1031.52</v>
      </c>
      <c r="M22" s="10" t="n">
        <v>800.14</v>
      </c>
      <c r="N22" s="10" t="n">
        <v>0</v>
      </c>
      <c r="O22" s="10" t="n">
        <v>127</v>
      </c>
      <c r="P22" s="10" t="n">
        <v>3124.21</v>
      </c>
      <c r="Q22" s="10" t="n">
        <v>2447.58</v>
      </c>
      <c r="R22" s="10" t="n">
        <v>0</v>
      </c>
      <c r="S22" s="9" t="inlineStr">
        <is>
          <t>1.BANK</t>
        </is>
      </c>
      <c r="T22" s="9" t="inlineStr">
        <is>
          <t>BANK直</t>
        </is>
      </c>
      <c r="U22" s="9" t="inlineStr">
        <is>
          <t>アクティブ</t>
        </is>
      </c>
      <c r="V22" s="9" t="n"/>
      <c r="W22" s="9" t="inlineStr">
        <is>
          <t>Bank・・・ACS・PLATS・PLATPLはイントロデューサー分全額 1%</t>
        </is>
      </c>
    </row>
    <row r="23">
      <c r="A23" s="7" t="n">
        <v>565301</v>
      </c>
      <c r="B23" s="7" t="inlineStr">
        <is>
          <t>Mukainaka, Shun</t>
        </is>
      </c>
      <c r="C23" s="8" t="n">
        <v>50</v>
      </c>
      <c r="D23" s="8" t="n">
        <v>920.2</v>
      </c>
      <c r="E23" s="8" t="n">
        <v>460.1</v>
      </c>
      <c r="F23" s="8" t="n">
        <v>460.1</v>
      </c>
      <c r="G23" s="8" t="n">
        <v>48</v>
      </c>
      <c r="H23" s="8" t="n">
        <v>1015.48</v>
      </c>
      <c r="I23" s="8" t="n">
        <v>507.74</v>
      </c>
      <c r="J23" s="8" t="n">
        <v>507.74</v>
      </c>
      <c r="K23" s="8" t="n">
        <v>48</v>
      </c>
      <c r="L23" s="8" t="n">
        <v>1095.15</v>
      </c>
      <c r="M23" s="8" t="n">
        <v>547.5700000000001</v>
      </c>
      <c r="N23" s="8" t="n">
        <v>547.5700000000001</v>
      </c>
      <c r="O23" s="8" t="n">
        <v>146</v>
      </c>
      <c r="P23" s="8" t="n">
        <v>3030.83</v>
      </c>
      <c r="Q23" s="8" t="n">
        <v>1515.41</v>
      </c>
      <c r="R23" s="8" t="n">
        <v>1515.41</v>
      </c>
      <c r="S23" s="7" t="inlineStr">
        <is>
          <t>1.道下G</t>
        </is>
      </c>
      <c r="T23" s="7" t="inlineStr">
        <is>
          <t>五十嵐G</t>
        </is>
      </c>
      <c r="U23" s="7" t="inlineStr">
        <is>
          <t>移籍</t>
        </is>
      </c>
      <c r="V23" s="7" t="n"/>
      <c r="W23" s="7" t="inlineStr">
        <is>
          <t>道下グループ・・・イントロデューサー分も、マネージャーフィー0.25%も道下さんに報告、Goo分は0.25%</t>
        </is>
      </c>
    </row>
    <row r="24">
      <c r="A24" s="9" t="n">
        <v>571242</v>
      </c>
      <c r="B24" s="9" t="inlineStr">
        <is>
          <t>Givers Bank Co., Ltd.</t>
        </is>
      </c>
      <c r="C24" s="10" t="n">
        <v>83</v>
      </c>
      <c r="D24" s="10" t="n">
        <v>860.98</v>
      </c>
      <c r="E24" s="10" t="n">
        <v>435.54</v>
      </c>
      <c r="F24" s="10" t="n">
        <v>0</v>
      </c>
      <c r="G24" s="10" t="n">
        <v>86</v>
      </c>
      <c r="H24" s="10" t="n">
        <v>1057.41</v>
      </c>
      <c r="I24" s="10" t="n">
        <v>462.74</v>
      </c>
      <c r="J24" s="10" t="n">
        <v>0</v>
      </c>
      <c r="K24" s="10" t="n">
        <v>88</v>
      </c>
      <c r="L24" s="10" t="n">
        <v>1079.66</v>
      </c>
      <c r="M24" s="10" t="n">
        <v>482.46</v>
      </c>
      <c r="N24" s="10" t="n">
        <v>0</v>
      </c>
      <c r="O24" s="10" t="n">
        <v>257</v>
      </c>
      <c r="P24" s="10" t="n">
        <v>2998.05</v>
      </c>
      <c r="Q24" s="10" t="n">
        <v>1380.74</v>
      </c>
      <c r="R24" s="10" t="n">
        <v>0</v>
      </c>
      <c r="S24" s="9" t="inlineStr">
        <is>
          <t>1.BANK</t>
        </is>
      </c>
      <c r="T24" s="9" t="inlineStr">
        <is>
          <t>中谷G</t>
        </is>
      </c>
      <c r="U24" s="9" t="inlineStr">
        <is>
          <t>アクティブ</t>
        </is>
      </c>
      <c r="V24" s="9" t="n"/>
      <c r="W24" s="9" t="inlineStr">
        <is>
          <t>Bank・・・ACS・PLATS・PLATPLはイントロデューサー分全額 1%</t>
        </is>
      </c>
    </row>
    <row r="25">
      <c r="A25" s="7" t="n">
        <v>513537</v>
      </c>
      <c r="B25" s="7" t="inlineStr">
        <is>
          <t>Matsumoto, Kotaro</t>
        </is>
      </c>
      <c r="C25" s="8" t="n">
        <v>33</v>
      </c>
      <c r="D25" s="8" t="n">
        <v>1035.44</v>
      </c>
      <c r="E25" s="8" t="n">
        <v>876.63</v>
      </c>
      <c r="F25" s="8" t="n">
        <v>0</v>
      </c>
      <c r="G25" s="8" t="n">
        <v>38</v>
      </c>
      <c r="H25" s="8" t="n">
        <v>1056.94</v>
      </c>
      <c r="I25" s="8" t="n">
        <v>896.58</v>
      </c>
      <c r="J25" s="8" t="n">
        <v>0</v>
      </c>
      <c r="K25" s="8" t="n">
        <v>43</v>
      </c>
      <c r="L25" s="8" t="n">
        <v>1024.04</v>
      </c>
      <c r="M25" s="8" t="n">
        <v>872.27</v>
      </c>
      <c r="N25" s="8" t="n">
        <v>0</v>
      </c>
      <c r="O25" s="8" t="n">
        <v>114</v>
      </c>
      <c r="P25" s="8" t="n">
        <v>3116.41</v>
      </c>
      <c r="Q25" s="8" t="n">
        <v>2645.48</v>
      </c>
      <c r="R25" s="8" t="n">
        <v>0</v>
      </c>
      <c r="S25" s="7" t="inlineStr">
        <is>
          <t>個別</t>
        </is>
      </c>
      <c r="T25" s="7" t="inlineStr">
        <is>
          <t>もりし</t>
        </is>
      </c>
      <c r="U25" s="7" t="inlineStr">
        <is>
          <t>アクティブ</t>
        </is>
      </c>
      <c r="V25" s="7" t="n"/>
      <c r="W25" s="7" t="n"/>
    </row>
    <row r="26">
      <c r="A26" s="9" t="n">
        <v>570253</v>
      </c>
      <c r="B26" s="9" t="inlineStr">
        <is>
          <t>Kaneko, Kazuyo</t>
        </is>
      </c>
      <c r="C26" s="10" t="n">
        <v>58</v>
      </c>
      <c r="D26" s="10" t="n">
        <v>2029.76</v>
      </c>
      <c r="E26" s="10" t="n">
        <v>76.06</v>
      </c>
      <c r="F26" s="10" t="n">
        <v>76.06</v>
      </c>
      <c r="G26" s="10" t="n">
        <v>58</v>
      </c>
      <c r="H26" s="10" t="n">
        <v>2218.52</v>
      </c>
      <c r="I26" s="10" t="n">
        <v>86.01000000000001</v>
      </c>
      <c r="J26" s="10" t="n">
        <v>86.01000000000001</v>
      </c>
      <c r="K26" s="10" t="n">
        <v>58</v>
      </c>
      <c r="L26" s="10" t="n">
        <v>2249.83</v>
      </c>
      <c r="M26" s="10" t="n">
        <v>92.55</v>
      </c>
      <c r="N26" s="10" t="n">
        <v>92.55</v>
      </c>
      <c r="O26" s="10" t="n">
        <v>174</v>
      </c>
      <c r="P26" s="10" t="n">
        <v>6498.11</v>
      </c>
      <c r="Q26" s="10" t="n">
        <v>254.63</v>
      </c>
      <c r="R26" s="10" t="n">
        <v>254.63</v>
      </c>
      <c r="S26" s="9" t="inlineStr">
        <is>
          <t>12.脇坂G</t>
        </is>
      </c>
      <c r="T26" s="9" t="inlineStr">
        <is>
          <t>4 Capital 傘下</t>
        </is>
      </c>
      <c r="U26" s="9" t="inlineStr">
        <is>
          <t>アクティブ</t>
        </is>
      </c>
      <c r="V26" s="9" t="n"/>
      <c r="W26" s="9" t="inlineStr">
        <is>
          <t>脇坂グループ・・・イントロデューサー分も、マネージャーフィー0.25%も脇坂さんに報告、Goo分は0.25%</t>
        </is>
      </c>
    </row>
    <row r="27">
      <c r="A27" s="7" t="n">
        <v>564701</v>
      </c>
      <c r="B27" s="7" t="inlineStr">
        <is>
          <t>Mori, Hideki</t>
        </is>
      </c>
      <c r="C27" s="8" t="n">
        <v>18</v>
      </c>
      <c r="D27" s="8" t="n">
        <v>900.99</v>
      </c>
      <c r="E27" s="8" t="n">
        <v>300.33</v>
      </c>
      <c r="F27" s="8" t="n">
        <v>0</v>
      </c>
      <c r="G27" s="8" t="n">
        <v>18</v>
      </c>
      <c r="H27" s="8" t="n">
        <v>956.74</v>
      </c>
      <c r="I27" s="8" t="n">
        <v>318.92</v>
      </c>
      <c r="J27" s="8" t="n">
        <v>0</v>
      </c>
      <c r="K27" s="8" t="n">
        <v>18</v>
      </c>
      <c r="L27" s="8" t="n">
        <v>946.9400000000001</v>
      </c>
      <c r="M27" s="8" t="n">
        <v>315.65</v>
      </c>
      <c r="N27" s="8" t="n">
        <v>0</v>
      </c>
      <c r="O27" s="8" t="n">
        <v>54</v>
      </c>
      <c r="P27" s="8" t="n">
        <v>2804.67</v>
      </c>
      <c r="Q27" s="8" t="n">
        <v>934.89</v>
      </c>
      <c r="R27" s="8" t="n">
        <v>0</v>
      </c>
      <c r="S27" s="7" t="inlineStr">
        <is>
          <t>10.竹田G</t>
        </is>
      </c>
      <c r="T27" s="7" t="n">
        <v>0</v>
      </c>
      <c r="U27" s="7" t="inlineStr">
        <is>
          <t>既得確保</t>
        </is>
      </c>
      <c r="V27" s="7" t="n"/>
      <c r="W27" s="7" t="inlineStr">
        <is>
          <t>グランディル、乾さん辻本さん・・・イントロデューサー分0.75%、Goo分は0.25%</t>
        </is>
      </c>
    </row>
    <row r="28">
      <c r="A28" s="9" t="n">
        <v>570254</v>
      </c>
      <c r="B28" s="9" t="inlineStr">
        <is>
          <t>Nishi, Hironari</t>
        </is>
      </c>
      <c r="C28" s="10" t="n">
        <v>47</v>
      </c>
      <c r="D28" s="10" t="n">
        <v>1235.13</v>
      </c>
      <c r="E28" s="10" t="n">
        <v>380.5</v>
      </c>
      <c r="F28" s="10" t="n">
        <v>380.5</v>
      </c>
      <c r="G28" s="10" t="n">
        <v>46</v>
      </c>
      <c r="H28" s="10" t="n">
        <v>1321.91</v>
      </c>
      <c r="I28" s="10" t="n">
        <v>409.22</v>
      </c>
      <c r="J28" s="10" t="n">
        <v>409.22</v>
      </c>
      <c r="K28" s="10" t="n">
        <v>42</v>
      </c>
      <c r="L28" s="10" t="n">
        <v>1301.98</v>
      </c>
      <c r="M28" s="10" t="n">
        <v>395.05</v>
      </c>
      <c r="N28" s="10" t="n">
        <v>395.05</v>
      </c>
      <c r="O28" s="10" t="n">
        <v>135</v>
      </c>
      <c r="P28" s="10" t="n">
        <v>3859.02</v>
      </c>
      <c r="Q28" s="10" t="n">
        <v>1184.76</v>
      </c>
      <c r="R28" s="10" t="n">
        <v>1184.76</v>
      </c>
      <c r="S28" s="9" t="inlineStr">
        <is>
          <t>12.脇坂G</t>
        </is>
      </c>
      <c r="T28" s="9" t="inlineStr">
        <is>
          <t>4 Capital 傘下</t>
        </is>
      </c>
      <c r="U28" s="9" t="inlineStr">
        <is>
          <t>アクティブ</t>
        </is>
      </c>
      <c r="V28" s="9" t="n"/>
      <c r="W28" s="9" t="inlineStr">
        <is>
          <t>脇坂グループ・・・イントロデューサー分も、マネージャーフィー0.25%も脇坂さんに報告、Goo分は0.25%</t>
        </is>
      </c>
    </row>
    <row r="29">
      <c r="A29" s="7" t="n">
        <v>562099</v>
      </c>
      <c r="B29" s="7" t="inlineStr">
        <is>
          <t>Fujiwara, Yuichiro</t>
        </is>
      </c>
      <c r="C29" s="8" t="n">
        <v>20</v>
      </c>
      <c r="D29" s="8" t="n">
        <v>905.3099999999999</v>
      </c>
      <c r="E29" s="8" t="n">
        <v>905.3099999999999</v>
      </c>
      <c r="F29" s="8" t="n">
        <v>0</v>
      </c>
      <c r="G29" s="8" t="n">
        <v>19</v>
      </c>
      <c r="H29" s="8" t="n">
        <v>832.29</v>
      </c>
      <c r="I29" s="8" t="n">
        <v>832.29</v>
      </c>
      <c r="J29" s="8" t="n">
        <v>0</v>
      </c>
      <c r="K29" s="8" t="n">
        <v>19</v>
      </c>
      <c r="L29" s="8" t="n">
        <v>844.8099999999999</v>
      </c>
      <c r="M29" s="8" t="n">
        <v>844.8099999999999</v>
      </c>
      <c r="N29" s="8" t="n">
        <v>0</v>
      </c>
      <c r="O29" s="8" t="n">
        <v>58</v>
      </c>
      <c r="P29" s="8" t="n">
        <v>2582.4</v>
      </c>
      <c r="Q29" s="8" t="n">
        <v>2582.4</v>
      </c>
      <c r="R29" s="8" t="n">
        <v>0</v>
      </c>
      <c r="S29" s="7" t="inlineStr">
        <is>
          <t>個別</t>
        </is>
      </c>
      <c r="T29" s="7" t="inlineStr">
        <is>
          <t>藤原G</t>
        </is>
      </c>
      <c r="U29" s="7" t="inlineStr">
        <is>
          <t>アクティブ</t>
        </is>
      </c>
      <c r="V29" s="7" t="n"/>
      <c r="W29" s="7" t="n"/>
    </row>
    <row r="30">
      <c r="A30" s="9" t="n">
        <v>570133</v>
      </c>
      <c r="B30" s="9" t="inlineStr">
        <is>
          <t>Igarashi, Daisuke</t>
        </is>
      </c>
      <c r="C30" s="10" t="n">
        <v>22</v>
      </c>
      <c r="D30" s="10" t="n">
        <v>698.99</v>
      </c>
      <c r="E30" s="10" t="n">
        <v>349.49</v>
      </c>
      <c r="F30" s="10" t="n">
        <v>349.49</v>
      </c>
      <c r="G30" s="10" t="n">
        <v>21</v>
      </c>
      <c r="H30" s="10" t="n">
        <v>876.45</v>
      </c>
      <c r="I30" s="10" t="n">
        <v>438.23</v>
      </c>
      <c r="J30" s="10" t="n">
        <v>438.23</v>
      </c>
      <c r="K30" s="10" t="n">
        <v>19</v>
      </c>
      <c r="L30" s="10" t="n">
        <v>939.21</v>
      </c>
      <c r="M30" s="10" t="n">
        <v>469.61</v>
      </c>
      <c r="N30" s="10" t="n">
        <v>469.61</v>
      </c>
      <c r="O30" s="10" t="n">
        <v>62</v>
      </c>
      <c r="P30" s="10" t="n">
        <v>2514.65</v>
      </c>
      <c r="Q30" s="10" t="n">
        <v>1257.33</v>
      </c>
      <c r="R30" s="10" t="n">
        <v>1257.33</v>
      </c>
      <c r="S30" s="9" t="inlineStr">
        <is>
          <t>12.脇坂G</t>
        </is>
      </c>
      <c r="T30" s="9" t="inlineStr">
        <is>
          <t>TerraceG</t>
        </is>
      </c>
      <c r="U30" s="9" t="inlineStr">
        <is>
          <t>アクティブ</t>
        </is>
      </c>
      <c r="V30" s="9" t="n"/>
      <c r="W30" s="9" t="inlineStr">
        <is>
          <t>脇坂グループ・・・イントロデューサー分も、マネージャーフィー0.25%も脇坂さんに報告、Goo分は0.25%</t>
        </is>
      </c>
    </row>
    <row r="31">
      <c r="A31" s="7" t="n">
        <v>571421</v>
      </c>
      <c r="B31" s="7" t="inlineStr">
        <is>
          <t>Kondo, Yasuyuki</t>
        </is>
      </c>
      <c r="C31" s="8" t="n">
        <v>48</v>
      </c>
      <c r="D31" s="8" t="n">
        <v>728.86</v>
      </c>
      <c r="E31" s="8" t="n">
        <v>364.43</v>
      </c>
      <c r="F31" s="8" t="n">
        <v>364.43</v>
      </c>
      <c r="G31" s="8" t="n">
        <v>48</v>
      </c>
      <c r="H31" s="8" t="n">
        <v>839.86</v>
      </c>
      <c r="I31" s="8" t="n">
        <v>419.93</v>
      </c>
      <c r="J31" s="8" t="n">
        <v>419.93</v>
      </c>
      <c r="K31" s="8" t="n">
        <v>47</v>
      </c>
      <c r="L31" s="8" t="n">
        <v>881.87</v>
      </c>
      <c r="M31" s="8" t="n">
        <v>440.93</v>
      </c>
      <c r="N31" s="8" t="n">
        <v>440.93</v>
      </c>
      <c r="O31" s="8" t="n">
        <v>143</v>
      </c>
      <c r="P31" s="8" t="n">
        <v>2450.58</v>
      </c>
      <c r="Q31" s="8" t="n">
        <v>1225.29</v>
      </c>
      <c r="R31" s="8" t="n">
        <v>1225.29</v>
      </c>
      <c r="S31" s="7" t="inlineStr">
        <is>
          <t>12.脇坂G</t>
        </is>
      </c>
      <c r="T31" s="7" t="inlineStr">
        <is>
          <t>4 Capital 傘下</t>
        </is>
      </c>
      <c r="U31" s="7" t="inlineStr">
        <is>
          <t>アクティブ</t>
        </is>
      </c>
      <c r="V31" s="7" t="n"/>
      <c r="W31" s="7" t="inlineStr">
        <is>
          <t>脇坂グループ・・・イントロデューサー分も、マネージャーフィー0.25%も脇坂さんに報告、Goo分は0.25%</t>
        </is>
      </c>
    </row>
    <row r="32">
      <c r="A32" s="9" t="n">
        <v>570917</v>
      </c>
      <c r="B32" s="9" t="inlineStr">
        <is>
          <t>Aizen, Koki</t>
        </is>
      </c>
      <c r="C32" s="10" t="n">
        <v>64</v>
      </c>
      <c r="D32" s="10" t="n">
        <v>758.09</v>
      </c>
      <c r="E32" s="10" t="n">
        <v>365.65</v>
      </c>
      <c r="F32" s="10" t="n">
        <v>365.65</v>
      </c>
      <c r="G32" s="10" t="n">
        <v>63</v>
      </c>
      <c r="H32" s="10" t="n">
        <v>855.96</v>
      </c>
      <c r="I32" s="10" t="n">
        <v>413.05</v>
      </c>
      <c r="J32" s="10" t="n">
        <v>413.05</v>
      </c>
      <c r="K32" s="10" t="n">
        <v>60</v>
      </c>
      <c r="L32" s="10" t="n">
        <v>838.28</v>
      </c>
      <c r="M32" s="10" t="n">
        <v>406.19</v>
      </c>
      <c r="N32" s="10" t="n">
        <v>406.19</v>
      </c>
      <c r="O32" s="10" t="n">
        <v>187</v>
      </c>
      <c r="P32" s="10" t="n">
        <v>2452.34</v>
      </c>
      <c r="Q32" s="10" t="n">
        <v>1184.89</v>
      </c>
      <c r="R32" s="10" t="n">
        <v>1184.89</v>
      </c>
      <c r="S32" s="9" t="inlineStr">
        <is>
          <t>1.道下G</t>
        </is>
      </c>
      <c r="T32" s="9" t="inlineStr">
        <is>
          <t>小宮山G</t>
        </is>
      </c>
      <c r="U32" s="9" t="inlineStr">
        <is>
          <t>移籍</t>
        </is>
      </c>
      <c r="V32" s="9" t="n"/>
      <c r="W32" s="9" t="inlineStr">
        <is>
          <t>道下グループ・・・イントロデューサー分も、マネージャーフィー0.25%も道下さんに報告、Goo分は0.25%</t>
        </is>
      </c>
    </row>
    <row r="33">
      <c r="A33" s="7" t="n">
        <v>562954</v>
      </c>
      <c r="B33" s="7" t="inlineStr">
        <is>
          <t>Agrimonia LLC.</t>
        </is>
      </c>
      <c r="C33" s="8" t="n">
        <v>31</v>
      </c>
      <c r="D33" s="8" t="n">
        <v>766.04</v>
      </c>
      <c r="E33" s="8" t="n">
        <v>766.04</v>
      </c>
      <c r="F33" s="8" t="n">
        <v>0</v>
      </c>
      <c r="G33" s="8" t="n">
        <v>30</v>
      </c>
      <c r="H33" s="8" t="n">
        <v>745.39</v>
      </c>
      <c r="I33" s="8" t="n">
        <v>745.39</v>
      </c>
      <c r="J33" s="8" t="n">
        <v>0</v>
      </c>
      <c r="K33" s="8" t="n">
        <v>29</v>
      </c>
      <c r="L33" s="8" t="n">
        <v>685.61</v>
      </c>
      <c r="M33" s="8" t="n">
        <v>685.61</v>
      </c>
      <c r="N33" s="8" t="n">
        <v>0</v>
      </c>
      <c r="O33" s="8" t="n">
        <v>90</v>
      </c>
      <c r="P33" s="8" t="n">
        <v>2197.03</v>
      </c>
      <c r="Q33" s="8" t="n">
        <v>2197.03</v>
      </c>
      <c r="R33" s="8" t="n">
        <v>0</v>
      </c>
      <c r="S33" s="7" t="inlineStr">
        <is>
          <t>GA</t>
        </is>
      </c>
      <c r="T33" s="7" t="n">
        <v>0</v>
      </c>
      <c r="U33" s="7" t="inlineStr">
        <is>
          <t>アクティブ</t>
        </is>
      </c>
      <c r="V33" s="7" t="n"/>
      <c r="W33" s="7" t="n"/>
    </row>
    <row r="34">
      <c r="A34" s="9" t="n">
        <v>565361</v>
      </c>
      <c r="B34" s="9" t="inlineStr">
        <is>
          <t>Saitoh, Kazuya</t>
        </is>
      </c>
      <c r="C34" s="10" t="n">
        <v>84</v>
      </c>
      <c r="D34" s="10" t="n">
        <v>777.6</v>
      </c>
      <c r="E34" s="10" t="n">
        <v>377.87</v>
      </c>
      <c r="F34" s="10" t="n">
        <v>377.87</v>
      </c>
      <c r="G34" s="10" t="n">
        <v>85</v>
      </c>
      <c r="H34" s="10" t="n">
        <v>859.1900000000001</v>
      </c>
      <c r="I34" s="10" t="n">
        <v>417.63</v>
      </c>
      <c r="J34" s="10" t="n">
        <v>417.63</v>
      </c>
      <c r="K34" s="10" t="n">
        <v>81</v>
      </c>
      <c r="L34" s="10" t="n">
        <v>562.98</v>
      </c>
      <c r="M34" s="10" t="n">
        <v>281.49</v>
      </c>
      <c r="N34" s="10" t="n">
        <v>281.49</v>
      </c>
      <c r="O34" s="10" t="n">
        <v>250</v>
      </c>
      <c r="P34" s="10" t="n">
        <v>2199.77</v>
      </c>
      <c r="Q34" s="10" t="n">
        <v>1076.99</v>
      </c>
      <c r="R34" s="10" t="n">
        <v>1076.99</v>
      </c>
      <c r="S34" s="9" t="inlineStr">
        <is>
          <t>1.道下G</t>
        </is>
      </c>
      <c r="T34" s="9" t="inlineStr">
        <is>
          <t>小宮山G</t>
        </is>
      </c>
      <c r="U34" s="9" t="inlineStr">
        <is>
          <t>移籍</t>
        </is>
      </c>
      <c r="V34" s="9" t="n"/>
      <c r="W34" s="9" t="inlineStr">
        <is>
          <t>道下グループ・・・イントロデューサー分も、マネージャーフィー0.25%も道下さんに報告、Goo分は0.25%</t>
        </is>
      </c>
    </row>
    <row r="35">
      <c r="A35" s="7" t="n">
        <v>563767</v>
      </c>
      <c r="B35" s="7" t="inlineStr">
        <is>
          <t>Igarashi, Daisuke</t>
        </is>
      </c>
      <c r="C35" s="8" t="n">
        <v>34</v>
      </c>
      <c r="D35" s="8" t="n">
        <v>693.78</v>
      </c>
      <c r="E35" s="8" t="n">
        <v>346.89</v>
      </c>
      <c r="F35" s="8" t="n">
        <v>346.89</v>
      </c>
      <c r="G35" s="8" t="n">
        <v>31</v>
      </c>
      <c r="H35" s="8" t="n">
        <v>735.84</v>
      </c>
      <c r="I35" s="8" t="n">
        <v>367.92</v>
      </c>
      <c r="J35" s="8" t="n">
        <v>367.92</v>
      </c>
      <c r="K35" s="8" t="n">
        <v>30</v>
      </c>
      <c r="L35" s="8" t="n">
        <v>743.0599999999999</v>
      </c>
      <c r="M35" s="8" t="n">
        <v>371.53</v>
      </c>
      <c r="N35" s="8" t="n">
        <v>371.53</v>
      </c>
      <c r="O35" s="8" t="n">
        <v>95</v>
      </c>
      <c r="P35" s="8" t="n">
        <v>2172.68</v>
      </c>
      <c r="Q35" s="8" t="n">
        <v>1086.34</v>
      </c>
      <c r="R35" s="8" t="n">
        <v>1086.34</v>
      </c>
      <c r="S35" s="7" t="inlineStr">
        <is>
          <t>1.道下G</t>
        </is>
      </c>
      <c r="T35" s="7" t="inlineStr">
        <is>
          <t>五十嵐G</t>
        </is>
      </c>
      <c r="U35" s="7" t="inlineStr">
        <is>
          <t>移籍</t>
        </is>
      </c>
      <c r="V35" s="7" t="n"/>
      <c r="W35" s="7" t="inlineStr">
        <is>
          <t>道下グループ・・・イントロデューサー分も、マネージャーフィー0.25%も道下さんに報告、Goo分は0.25%</t>
        </is>
      </c>
    </row>
    <row r="36">
      <c r="A36" s="9" t="n">
        <v>566038</v>
      </c>
      <c r="B36" s="9" t="inlineStr">
        <is>
          <t>Sugita, Junichi</t>
        </is>
      </c>
      <c r="C36" s="10" t="n">
        <v>41</v>
      </c>
      <c r="D36" s="10" t="n">
        <v>627.3099999999999</v>
      </c>
      <c r="E36" s="10" t="n">
        <v>627.3099999999999</v>
      </c>
      <c r="F36" s="10" t="n">
        <v>0</v>
      </c>
      <c r="G36" s="10" t="n">
        <v>41</v>
      </c>
      <c r="H36" s="10" t="n">
        <v>707.62</v>
      </c>
      <c r="I36" s="10" t="n">
        <v>707.62</v>
      </c>
      <c r="J36" s="10" t="n">
        <v>0</v>
      </c>
      <c r="K36" s="10" t="n">
        <v>41</v>
      </c>
      <c r="L36" s="10" t="n">
        <v>813.63</v>
      </c>
      <c r="M36" s="10" t="n">
        <v>813.63</v>
      </c>
      <c r="N36" s="10" t="n">
        <v>0</v>
      </c>
      <c r="O36" s="10" t="n">
        <v>123</v>
      </c>
      <c r="P36" s="10" t="n">
        <v>2148.56</v>
      </c>
      <c r="Q36" s="10" t="n">
        <v>2148.56</v>
      </c>
      <c r="R36" s="10" t="n">
        <v>0</v>
      </c>
      <c r="S36" s="9" t="inlineStr">
        <is>
          <t>14.渋谷G　※OneG除く</t>
        </is>
      </c>
      <c r="T36" s="9" t="n">
        <v>0</v>
      </c>
      <c r="U36" s="9" t="inlineStr">
        <is>
          <t>アクティブ</t>
        </is>
      </c>
      <c r="V36" s="9" t="n"/>
      <c r="W36" s="9" t="n"/>
    </row>
    <row r="37">
      <c r="A37" s="7" t="n">
        <v>566042</v>
      </c>
      <c r="B37" s="7" t="inlineStr">
        <is>
          <t>Yamane, Sho</t>
        </is>
      </c>
      <c r="C37" s="8" t="n">
        <v>45</v>
      </c>
      <c r="D37" s="8" t="n">
        <v>613.97</v>
      </c>
      <c r="E37" s="8" t="n">
        <v>306.99</v>
      </c>
      <c r="F37" s="8" t="n">
        <v>306.99</v>
      </c>
      <c r="G37" s="8" t="n">
        <v>46</v>
      </c>
      <c r="H37" s="8" t="n">
        <v>708.89</v>
      </c>
      <c r="I37" s="8" t="n">
        <v>354.44</v>
      </c>
      <c r="J37" s="8" t="n">
        <v>354.44</v>
      </c>
      <c r="K37" s="8" t="n">
        <v>48</v>
      </c>
      <c r="L37" s="8" t="n">
        <v>805.64</v>
      </c>
      <c r="M37" s="8" t="n">
        <v>402.82</v>
      </c>
      <c r="N37" s="8" t="n">
        <v>402.82</v>
      </c>
      <c r="O37" s="8" t="n">
        <v>139</v>
      </c>
      <c r="P37" s="8" t="n">
        <v>2128.5</v>
      </c>
      <c r="Q37" s="8" t="n">
        <v>1064.25</v>
      </c>
      <c r="R37" s="8" t="n">
        <v>1064.25</v>
      </c>
      <c r="S37" s="7" t="inlineStr">
        <is>
          <t>1.道下G</t>
        </is>
      </c>
      <c r="T37" s="7" t="inlineStr">
        <is>
          <t>杉本G</t>
        </is>
      </c>
      <c r="U37" s="7" t="inlineStr">
        <is>
          <t>移籍</t>
        </is>
      </c>
      <c r="V37" s="7" t="n"/>
      <c r="W37" s="7" t="inlineStr">
        <is>
          <t>道下グループ・・・イントロデューサー分も、マネージャーフィー0.25%も道下さんに報告、Goo分は0.25%</t>
        </is>
      </c>
    </row>
    <row r="38">
      <c r="A38" s="9" t="n">
        <v>562775</v>
      </c>
      <c r="B38" s="9" t="inlineStr">
        <is>
          <t>Mizuochi, Daisuke</t>
        </is>
      </c>
      <c r="C38" s="10" t="n">
        <v>19</v>
      </c>
      <c r="D38" s="10" t="n">
        <v>671.79</v>
      </c>
      <c r="E38" s="10" t="n">
        <v>245.78</v>
      </c>
      <c r="F38" s="10" t="n">
        <v>245.78</v>
      </c>
      <c r="G38" s="10" t="n">
        <v>19</v>
      </c>
      <c r="H38" s="10" t="n">
        <v>733.05</v>
      </c>
      <c r="I38" s="10" t="n">
        <v>268.73</v>
      </c>
      <c r="J38" s="10" t="n">
        <v>268.73</v>
      </c>
      <c r="K38" s="10" t="n">
        <v>19</v>
      </c>
      <c r="L38" s="10" t="n">
        <v>764.54</v>
      </c>
      <c r="M38" s="10" t="n">
        <v>279.73</v>
      </c>
      <c r="N38" s="10" t="n">
        <v>279.73</v>
      </c>
      <c r="O38" s="10" t="n">
        <v>57</v>
      </c>
      <c r="P38" s="10" t="n">
        <v>2169.39</v>
      </c>
      <c r="Q38" s="10" t="n">
        <v>794.24</v>
      </c>
      <c r="R38" s="10" t="n">
        <v>794.24</v>
      </c>
      <c r="S38" s="9" t="inlineStr">
        <is>
          <t>1.道下G</t>
        </is>
      </c>
      <c r="T38" s="9" t="inlineStr">
        <is>
          <t>道下傘下</t>
        </is>
      </c>
      <c r="U38" s="9" t="inlineStr">
        <is>
          <t>移籍</t>
        </is>
      </c>
      <c r="V38" s="9" t="n"/>
      <c r="W38" s="9" t="inlineStr">
        <is>
          <t>道下グループ・・・イントロデューサー分も、マネージャーフィー0.25%も道下さんに報告、Goo分は0.25%</t>
        </is>
      </c>
    </row>
    <row r="39">
      <c r="A39" s="7" t="n">
        <v>516333</v>
      </c>
      <c r="B39" s="7" t="inlineStr">
        <is>
          <t>Official Co., Ltd.</t>
        </is>
      </c>
      <c r="C39" s="8" t="n">
        <v>31</v>
      </c>
      <c r="D39" s="8" t="n">
        <v>743.45</v>
      </c>
      <c r="E39" s="8" t="n">
        <v>729.09</v>
      </c>
      <c r="F39" s="8" t="n">
        <v>0</v>
      </c>
      <c r="G39" s="8" t="n">
        <v>31</v>
      </c>
      <c r="H39" s="8" t="n">
        <v>748.25</v>
      </c>
      <c r="I39" s="8" t="n">
        <v>734.4299999999999</v>
      </c>
      <c r="J39" s="8" t="n">
        <v>0</v>
      </c>
      <c r="K39" s="8" t="n">
        <v>29</v>
      </c>
      <c r="L39" s="8" t="n">
        <v>634.04</v>
      </c>
      <c r="M39" s="8" t="n">
        <v>621.66</v>
      </c>
      <c r="N39" s="8" t="n">
        <v>0</v>
      </c>
      <c r="O39" s="8" t="n">
        <v>91</v>
      </c>
      <c r="P39" s="8" t="n">
        <v>2125.75</v>
      </c>
      <c r="Q39" s="8" t="n">
        <v>2085.18</v>
      </c>
      <c r="R39" s="8" t="n">
        <v>0</v>
      </c>
      <c r="S39" s="7" t="inlineStr">
        <is>
          <t>個別</t>
        </is>
      </c>
      <c r="T39" s="7" t="inlineStr">
        <is>
          <t>Official</t>
        </is>
      </c>
      <c r="U39" s="7" t="inlineStr">
        <is>
          <t>既得確保</t>
        </is>
      </c>
      <c r="V39" s="7" t="n"/>
      <c r="W39" s="7" t="n"/>
    </row>
    <row r="40">
      <c r="A40" s="9" t="n">
        <v>569491</v>
      </c>
      <c r="B40" s="9" t="inlineStr">
        <is>
          <t>Takebayashi, Yoshiki</t>
        </is>
      </c>
      <c r="C40" s="10" t="n">
        <v>72</v>
      </c>
      <c r="D40" s="10" t="n">
        <v>566.89</v>
      </c>
      <c r="E40" s="10" t="n">
        <v>283.44</v>
      </c>
      <c r="F40" s="10" t="n">
        <v>283.44</v>
      </c>
      <c r="G40" s="10" t="n">
        <v>71</v>
      </c>
      <c r="H40" s="10" t="n">
        <v>613.3099999999999</v>
      </c>
      <c r="I40" s="10" t="n">
        <v>306.65</v>
      </c>
      <c r="J40" s="10" t="n">
        <v>306.65</v>
      </c>
      <c r="K40" s="10" t="n">
        <v>73</v>
      </c>
      <c r="L40" s="10" t="n">
        <v>682.35</v>
      </c>
      <c r="M40" s="10" t="n">
        <v>341.18</v>
      </c>
      <c r="N40" s="10" t="n">
        <v>341.18</v>
      </c>
      <c r="O40" s="10" t="n">
        <v>216</v>
      </c>
      <c r="P40" s="10" t="n">
        <v>1862.55</v>
      </c>
      <c r="Q40" s="10" t="n">
        <v>931.27</v>
      </c>
      <c r="R40" s="10" t="n">
        <v>931.27</v>
      </c>
      <c r="S40" s="9" t="inlineStr">
        <is>
          <t>1.道下G</t>
        </is>
      </c>
      <c r="T40" s="9" t="inlineStr">
        <is>
          <t>小宮山G</t>
        </is>
      </c>
      <c r="U40" s="9" t="inlineStr">
        <is>
          <t>移籍</t>
        </is>
      </c>
      <c r="V40" s="9" t="n"/>
      <c r="W40" s="9" t="inlineStr">
        <is>
          <t>道下グループ・・・イントロデューサー分も、マネージャーフィー0.25%も道下さんに報告、Goo分は0.25%</t>
        </is>
      </c>
    </row>
    <row r="41">
      <c r="A41" s="7" t="n">
        <v>563857</v>
      </c>
      <c r="B41" s="7" t="inlineStr">
        <is>
          <t>Oyama, Kentaro</t>
        </is>
      </c>
      <c r="C41" s="8" t="n">
        <v>34</v>
      </c>
      <c r="D41" s="8" t="n">
        <v>627.58</v>
      </c>
      <c r="E41" s="8" t="n">
        <v>627.58</v>
      </c>
      <c r="F41" s="8" t="n">
        <v>0</v>
      </c>
      <c r="G41" s="8" t="n">
        <v>39</v>
      </c>
      <c r="H41" s="8" t="n">
        <v>634.86</v>
      </c>
      <c r="I41" s="8" t="n">
        <v>634.86</v>
      </c>
      <c r="J41" s="8" t="n">
        <v>0</v>
      </c>
      <c r="K41" s="8" t="n">
        <v>41</v>
      </c>
      <c r="L41" s="8" t="n">
        <v>587.42</v>
      </c>
      <c r="M41" s="8" t="n">
        <v>587.42</v>
      </c>
      <c r="N41" s="8" t="n">
        <v>0</v>
      </c>
      <c r="O41" s="8" t="n">
        <v>114</v>
      </c>
      <c r="P41" s="8" t="n">
        <v>1849.86</v>
      </c>
      <c r="Q41" s="8" t="n">
        <v>1849.86</v>
      </c>
      <c r="R41" s="8" t="n">
        <v>0</v>
      </c>
      <c r="S41" s="7" t="inlineStr">
        <is>
          <t>個別</t>
        </is>
      </c>
      <c r="T41" s="7" t="inlineStr">
        <is>
          <t>大山さん</t>
        </is>
      </c>
      <c r="U41" s="7" t="inlineStr">
        <is>
          <t>アクティブ</t>
        </is>
      </c>
      <c r="V41" s="7" t="n"/>
      <c r="W41" s="7" t="n"/>
    </row>
    <row r="42">
      <c r="A42" s="9" t="n">
        <v>571537</v>
      </c>
      <c r="B42" s="9" t="inlineStr">
        <is>
          <t>Odani, Taketo</t>
        </is>
      </c>
      <c r="C42" s="10" t="n">
        <v>33</v>
      </c>
      <c r="D42" s="10" t="n">
        <v>688.4299999999999</v>
      </c>
      <c r="E42" s="10" t="n">
        <v>688.4299999999999</v>
      </c>
      <c r="F42" s="10" t="n">
        <v>0</v>
      </c>
      <c r="G42" s="10" t="n">
        <v>35</v>
      </c>
      <c r="H42" s="10" t="n">
        <v>751.29</v>
      </c>
      <c r="I42" s="10" t="n">
        <v>751.29</v>
      </c>
      <c r="J42" s="10" t="n">
        <v>0</v>
      </c>
      <c r="K42" s="10" t="n">
        <v>37</v>
      </c>
      <c r="L42" s="10" t="n">
        <v>755.4299999999999</v>
      </c>
      <c r="M42" s="10" t="n">
        <v>755.4299999999999</v>
      </c>
      <c r="N42" s="10" t="n">
        <v>0</v>
      </c>
      <c r="O42" s="10" t="n">
        <v>105</v>
      </c>
      <c r="P42" s="10" t="n">
        <v>2195.15</v>
      </c>
      <c r="Q42" s="10" t="n">
        <v>2195.15</v>
      </c>
      <c r="R42" s="10" t="n">
        <v>0</v>
      </c>
      <c r="S42" s="9" t="inlineStr">
        <is>
          <t>個別</t>
        </is>
      </c>
      <c r="T42" s="9" t="n">
        <v>0</v>
      </c>
      <c r="U42" s="9" t="inlineStr">
        <is>
          <t>アクティブ</t>
        </is>
      </c>
      <c r="V42" s="9" t="n"/>
      <c r="W42" s="9" t="n"/>
    </row>
    <row r="43">
      <c r="A43" s="7" t="n">
        <v>574881</v>
      </c>
      <c r="B43" s="7" t="inlineStr">
        <is>
          <t>Enlifejoy Inc.</t>
        </is>
      </c>
      <c r="C43" s="8" t="n">
        <v>6</v>
      </c>
      <c r="D43" s="8" t="n">
        <v>543.87</v>
      </c>
      <c r="E43" s="8" t="n">
        <v>24.16</v>
      </c>
      <c r="F43" s="8" t="n">
        <v>0</v>
      </c>
      <c r="G43" s="8" t="n">
        <v>9</v>
      </c>
      <c r="H43" s="8" t="n">
        <v>564.42</v>
      </c>
      <c r="I43" s="8" t="n">
        <v>29</v>
      </c>
      <c r="J43" s="8" t="n">
        <v>0</v>
      </c>
      <c r="K43" s="8" t="n">
        <v>11</v>
      </c>
      <c r="L43" s="8" t="n">
        <v>568.39</v>
      </c>
      <c r="M43" s="8" t="n">
        <v>33.59</v>
      </c>
      <c r="N43" s="8" t="n">
        <v>0</v>
      </c>
      <c r="O43" s="8" t="n">
        <v>26</v>
      </c>
      <c r="P43" s="8" t="n">
        <v>1676.68</v>
      </c>
      <c r="Q43" s="8" t="n">
        <v>86.75</v>
      </c>
      <c r="R43" s="8" t="n">
        <v>0</v>
      </c>
      <c r="S43" s="7" t="inlineStr">
        <is>
          <t>1.BANK</t>
        </is>
      </c>
      <c r="T43" s="7" t="inlineStr">
        <is>
          <t>BANK直</t>
        </is>
      </c>
      <c r="U43" s="7" t="inlineStr">
        <is>
          <t>アクティブ</t>
        </is>
      </c>
      <c r="V43" s="7" t="n"/>
      <c r="W43" s="7" t="inlineStr">
        <is>
          <t>Bank・・・ACS・PLATS・PLATPLはイントロデューサー分全額 1%</t>
        </is>
      </c>
    </row>
    <row r="44">
      <c r="A44" s="9" t="n">
        <v>571647</v>
      </c>
      <c r="B44" s="9" t="inlineStr">
        <is>
          <t>Yamada, Toru</t>
        </is>
      </c>
      <c r="C44" s="10" t="n">
        <v>3</v>
      </c>
      <c r="D44" s="10" t="n">
        <v>571.38</v>
      </c>
      <c r="E44" s="10" t="n">
        <v>25.22</v>
      </c>
      <c r="F44" s="10" t="n">
        <v>0</v>
      </c>
      <c r="G44" s="10" t="n">
        <v>3</v>
      </c>
      <c r="H44" s="10" t="n">
        <v>593.25</v>
      </c>
      <c r="I44" s="10" t="n">
        <v>26.11</v>
      </c>
      <c r="J44" s="10" t="n">
        <v>0</v>
      </c>
      <c r="K44" s="10" t="n">
        <v>3</v>
      </c>
      <c r="L44" s="10" t="n">
        <v>500.33</v>
      </c>
      <c r="M44" s="10" t="n">
        <v>26.13</v>
      </c>
      <c r="N44" s="10" t="n">
        <v>0</v>
      </c>
      <c r="O44" s="10" t="n">
        <v>9</v>
      </c>
      <c r="P44" s="10" t="n">
        <v>1664.95</v>
      </c>
      <c r="Q44" s="10" t="n">
        <v>77.45</v>
      </c>
      <c r="R44" s="10" t="n">
        <v>0</v>
      </c>
      <c r="S44" s="9" t="inlineStr">
        <is>
          <t>1.BANK</t>
        </is>
      </c>
      <c r="T44" s="9" t="inlineStr">
        <is>
          <t>プロスペリティ</t>
        </is>
      </c>
      <c r="U44" s="9" t="inlineStr">
        <is>
          <t>アクティブ</t>
        </is>
      </c>
      <c r="V44" s="9" t="n"/>
      <c r="W44" s="9" t="inlineStr">
        <is>
          <t>Bank・・・ACS・PLATS・PLATPLはイントロデューサー分全額 1%</t>
        </is>
      </c>
    </row>
    <row r="45">
      <c r="A45" s="7" t="n">
        <v>564781</v>
      </c>
      <c r="B45" s="7" t="inlineStr">
        <is>
          <t>Yoshida, Kenichi</t>
        </is>
      </c>
      <c r="C45" s="8" t="n">
        <v>22</v>
      </c>
      <c r="D45" s="8" t="n">
        <v>590.35</v>
      </c>
      <c r="E45" s="8" t="n">
        <v>589.42</v>
      </c>
      <c r="F45" s="8" t="n">
        <v>0</v>
      </c>
      <c r="G45" s="8" t="n">
        <v>20</v>
      </c>
      <c r="H45" s="8" t="n">
        <v>552.12</v>
      </c>
      <c r="I45" s="8" t="n">
        <v>549.74</v>
      </c>
      <c r="J45" s="8" t="n">
        <v>0</v>
      </c>
      <c r="K45" s="8" t="n">
        <v>20</v>
      </c>
      <c r="L45" s="8" t="n">
        <v>523.13</v>
      </c>
      <c r="M45" s="8" t="n">
        <v>521.37</v>
      </c>
      <c r="N45" s="8" t="n">
        <v>0</v>
      </c>
      <c r="O45" s="8" t="n">
        <v>62</v>
      </c>
      <c r="P45" s="8" t="n">
        <v>1665.6</v>
      </c>
      <c r="Q45" s="8" t="n">
        <v>1660.53</v>
      </c>
      <c r="R45" s="8" t="n">
        <v>0</v>
      </c>
      <c r="S45" s="7" t="inlineStr">
        <is>
          <t>2.旧川村G (Gift)</t>
        </is>
      </c>
      <c r="T45" s="7" t="n">
        <v>0</v>
      </c>
      <c r="U45" s="7" t="inlineStr">
        <is>
          <t>既得確保</t>
        </is>
      </c>
      <c r="V45" s="7" t="n"/>
      <c r="W45" s="7" t="n"/>
    </row>
    <row r="46">
      <c r="A46" s="9" t="n">
        <v>564287</v>
      </c>
      <c r="B46" s="9" t="inlineStr">
        <is>
          <t>Horikawa, Akinobu</t>
        </is>
      </c>
      <c r="C46" s="10" t="n">
        <v>35</v>
      </c>
      <c r="D46" s="10" t="n">
        <v>523.11</v>
      </c>
      <c r="E46" s="10" t="n">
        <v>523.11</v>
      </c>
      <c r="F46" s="10" t="n">
        <v>0</v>
      </c>
      <c r="G46" s="10" t="n">
        <v>34</v>
      </c>
      <c r="H46" s="10" t="n">
        <v>523.24</v>
      </c>
      <c r="I46" s="10" t="n">
        <v>523.24</v>
      </c>
      <c r="J46" s="10" t="n">
        <v>0</v>
      </c>
      <c r="K46" s="10" t="n">
        <v>35</v>
      </c>
      <c r="L46" s="10" t="n">
        <v>553.15</v>
      </c>
      <c r="M46" s="10" t="n">
        <v>553.15</v>
      </c>
      <c r="N46" s="10" t="n">
        <v>0</v>
      </c>
      <c r="O46" s="10" t="n">
        <v>104</v>
      </c>
      <c r="P46" s="10" t="n">
        <v>1599.5</v>
      </c>
      <c r="Q46" s="10" t="n">
        <v>1599.5</v>
      </c>
      <c r="R46" s="10" t="n">
        <v>0</v>
      </c>
      <c r="S46" s="9" t="inlineStr">
        <is>
          <t>14.渋谷G　※OneG除く</t>
        </is>
      </c>
      <c r="T46" s="9" t="n">
        <v>0</v>
      </c>
      <c r="U46" s="9" t="inlineStr">
        <is>
          <t>アクティブ</t>
        </is>
      </c>
      <c r="V46" s="9" t="n"/>
      <c r="W46" s="9" t="n"/>
    </row>
    <row r="47">
      <c r="A47" s="7" t="n">
        <v>565641</v>
      </c>
      <c r="B47" s="7" t="inlineStr">
        <is>
          <t>LLC P&amp;B Finance Partner</t>
        </is>
      </c>
      <c r="C47" s="8" t="n">
        <v>23</v>
      </c>
      <c r="D47" s="8" t="n">
        <v>596.99</v>
      </c>
      <c r="E47" s="8" t="n">
        <v>558.51</v>
      </c>
      <c r="F47" s="8" t="n">
        <v>0</v>
      </c>
      <c r="G47" s="8" t="n">
        <v>22</v>
      </c>
      <c r="H47" s="8" t="n">
        <v>577.02</v>
      </c>
      <c r="I47" s="8" t="n">
        <v>537.14</v>
      </c>
      <c r="J47" s="8" t="n">
        <v>0</v>
      </c>
      <c r="K47" s="8" t="n">
        <v>20</v>
      </c>
      <c r="L47" s="8" t="n">
        <v>479.79</v>
      </c>
      <c r="M47" s="8" t="n">
        <v>479.79</v>
      </c>
      <c r="N47" s="8" t="n">
        <v>0</v>
      </c>
      <c r="O47" s="8" t="n">
        <v>65</v>
      </c>
      <c r="P47" s="8" t="n">
        <v>1653.8</v>
      </c>
      <c r="Q47" s="8" t="n">
        <v>1575.44</v>
      </c>
      <c r="R47" s="8" t="n">
        <v>0</v>
      </c>
      <c r="S47" s="7" t="inlineStr">
        <is>
          <t>1.BANK</t>
        </is>
      </c>
      <c r="T47" s="7" t="inlineStr">
        <is>
          <t>森さん</t>
        </is>
      </c>
      <c r="U47" s="7" t="inlineStr">
        <is>
          <t>既得確保</t>
        </is>
      </c>
      <c r="V47" s="7" t="inlineStr">
        <is>
          <t>全ファイルに記録なし、過去報告あり</t>
        </is>
      </c>
      <c r="W47" s="7" t="n"/>
    </row>
    <row r="48">
      <c r="A48" s="9" t="n">
        <v>515146</v>
      </c>
      <c r="B48" s="9" t="inlineStr">
        <is>
          <t>Aida, Tetsuro</t>
        </is>
      </c>
      <c r="C48" s="10" t="n">
        <v>11</v>
      </c>
      <c r="D48" s="10" t="n">
        <v>547.99</v>
      </c>
      <c r="E48" s="10" t="n">
        <v>547.99</v>
      </c>
      <c r="F48" s="10" t="n">
        <v>0</v>
      </c>
      <c r="G48" s="10" t="n">
        <v>11</v>
      </c>
      <c r="H48" s="10" t="n">
        <v>508.85</v>
      </c>
      <c r="I48" s="10" t="n">
        <v>508.85</v>
      </c>
      <c r="J48" s="10" t="n">
        <v>0</v>
      </c>
      <c r="K48" s="10" t="n">
        <v>11</v>
      </c>
      <c r="L48" s="10" t="n">
        <v>470.96</v>
      </c>
      <c r="M48" s="10" t="n">
        <v>470.96</v>
      </c>
      <c r="N48" s="10" t="n">
        <v>0</v>
      </c>
      <c r="O48" s="10" t="n">
        <v>33</v>
      </c>
      <c r="P48" s="10" t="n">
        <v>1527.81</v>
      </c>
      <c r="Q48" s="10" t="n">
        <v>1527.81</v>
      </c>
      <c r="R48" s="10" t="n">
        <v>0</v>
      </c>
      <c r="S48" s="9" t="inlineStr">
        <is>
          <t>個別</t>
        </is>
      </c>
      <c r="T48" s="9" t="inlineStr">
        <is>
          <t>會田</t>
        </is>
      </c>
      <c r="U48" s="9" t="inlineStr">
        <is>
          <t>既得確保</t>
        </is>
      </c>
      <c r="V48" s="9" t="n"/>
      <c r="W48" s="9" t="n"/>
    </row>
    <row r="49">
      <c r="A49" s="7" t="n">
        <v>564052</v>
      </c>
      <c r="B49" s="7" t="inlineStr">
        <is>
          <t>Takagi, Mikihide</t>
        </is>
      </c>
      <c r="C49" s="8" t="n">
        <v>17</v>
      </c>
      <c r="D49" s="8" t="n">
        <v>500.18</v>
      </c>
      <c r="E49" s="8" t="n">
        <v>500.18</v>
      </c>
      <c r="F49" s="8" t="n">
        <v>0</v>
      </c>
      <c r="G49" s="8" t="n">
        <v>17</v>
      </c>
      <c r="H49" s="8" t="n">
        <v>501.62</v>
      </c>
      <c r="I49" s="8" t="n">
        <v>501.62</v>
      </c>
      <c r="J49" s="8" t="n">
        <v>0</v>
      </c>
      <c r="K49" s="8" t="n">
        <v>17</v>
      </c>
      <c r="L49" s="8" t="n">
        <v>479.82</v>
      </c>
      <c r="M49" s="8" t="n">
        <v>479.82</v>
      </c>
      <c r="N49" s="8" t="n">
        <v>0</v>
      </c>
      <c r="O49" s="8" t="n">
        <v>51</v>
      </c>
      <c r="P49" s="8" t="n">
        <v>1481.63</v>
      </c>
      <c r="Q49" s="8" t="n">
        <v>1481.63</v>
      </c>
      <c r="R49" s="8" t="n">
        <v>0</v>
      </c>
      <c r="S49" s="7" t="inlineStr">
        <is>
          <t>個別</t>
        </is>
      </c>
      <c r="T49" s="7" t="n">
        <v>0</v>
      </c>
      <c r="U49" s="7" t="inlineStr">
        <is>
          <t>既得確保</t>
        </is>
      </c>
      <c r="V49" s="7" t="n"/>
      <c r="W49" s="7" t="n"/>
    </row>
    <row r="50">
      <c r="A50" s="9" t="n">
        <v>567020</v>
      </c>
      <c r="B50" s="9" t="inlineStr">
        <is>
          <t>Ando, Kota</t>
        </is>
      </c>
      <c r="C50" s="10" t="n">
        <v>42</v>
      </c>
      <c r="D50" s="10" t="n">
        <v>456.78</v>
      </c>
      <c r="E50" s="10" t="n">
        <v>228.39</v>
      </c>
      <c r="F50" s="10" t="n">
        <v>228.39</v>
      </c>
      <c r="G50" s="10" t="n">
        <v>41</v>
      </c>
      <c r="H50" s="10" t="n">
        <v>511.01</v>
      </c>
      <c r="I50" s="10" t="n">
        <v>255.51</v>
      </c>
      <c r="J50" s="10" t="n">
        <v>255.51</v>
      </c>
      <c r="K50" s="10" t="n">
        <v>44</v>
      </c>
      <c r="L50" s="10" t="n">
        <v>512.86</v>
      </c>
      <c r="M50" s="10" t="n">
        <v>256.43</v>
      </c>
      <c r="N50" s="10" t="n">
        <v>256.43</v>
      </c>
      <c r="O50" s="10" t="n">
        <v>127</v>
      </c>
      <c r="P50" s="10" t="n">
        <v>1480.65</v>
      </c>
      <c r="Q50" s="10" t="n">
        <v>740.33</v>
      </c>
      <c r="R50" s="10" t="n">
        <v>740.33</v>
      </c>
      <c r="S50" s="9" t="inlineStr">
        <is>
          <t>1.道下G</t>
        </is>
      </c>
      <c r="T50" s="9" t="inlineStr">
        <is>
          <t>小宮山G</t>
        </is>
      </c>
      <c r="U50" s="9" t="inlineStr">
        <is>
          <t>移籍</t>
        </is>
      </c>
      <c r="V50" s="9" t="n"/>
      <c r="W50" s="9" t="inlineStr">
        <is>
          <t>道下グループ・・・イントロデューサー分も、マネージャーフィー0.25%も道下さんに報告、Goo分は0.25%</t>
        </is>
      </c>
    </row>
    <row r="51">
      <c r="A51" s="7" t="n">
        <v>578046</v>
      </c>
      <c r="B51" s="7" t="inlineStr">
        <is>
          <t>FIS Co., Ltd.</t>
        </is>
      </c>
      <c r="C51" s="8" t="n">
        <v>1</v>
      </c>
      <c r="D51" s="8" t="n">
        <v>0.03</v>
      </c>
      <c r="E51" s="8" t="n">
        <v>0.03</v>
      </c>
      <c r="F51" s="8" t="n">
        <v>0</v>
      </c>
      <c r="G51" s="8" t="n">
        <v>3</v>
      </c>
      <c r="H51" s="8" t="n">
        <v>725.33</v>
      </c>
      <c r="I51" s="8" t="n">
        <v>725.33</v>
      </c>
      <c r="J51" s="8" t="n">
        <v>0</v>
      </c>
      <c r="K51" s="8" t="n">
        <v>4</v>
      </c>
      <c r="L51" s="8" t="n">
        <v>740.5599999999999</v>
      </c>
      <c r="M51" s="8" t="n">
        <v>740.5599999999999</v>
      </c>
      <c r="N51" s="8" t="n">
        <v>0</v>
      </c>
      <c r="O51" s="8" t="n">
        <v>8</v>
      </c>
      <c r="P51" s="8" t="n">
        <v>1465.91</v>
      </c>
      <c r="Q51" s="8" t="n">
        <v>1465.91</v>
      </c>
      <c r="R51" s="8" t="n">
        <v>0</v>
      </c>
      <c r="S51" s="7" t="inlineStr">
        <is>
          <t>1.BANK</t>
        </is>
      </c>
      <c r="T51" s="7" t="inlineStr">
        <is>
          <t>BANK直</t>
        </is>
      </c>
      <c r="U51" s="7" t="inlineStr">
        <is>
          <t>アクティブ</t>
        </is>
      </c>
      <c r="V51" s="7" t="n"/>
      <c r="W51" s="7" t="n"/>
    </row>
    <row r="52">
      <c r="A52" s="9" t="n">
        <v>562652</v>
      </c>
      <c r="B52" s="9" t="inlineStr">
        <is>
          <t>Toyama, Masanobu</t>
        </is>
      </c>
      <c r="C52" s="10" t="n">
        <v>13</v>
      </c>
      <c r="D52" s="10" t="n">
        <v>561.05</v>
      </c>
      <c r="E52" s="10" t="n">
        <v>561.05</v>
      </c>
      <c r="F52" s="10" t="n">
        <v>0</v>
      </c>
      <c r="G52" s="10" t="n">
        <v>13</v>
      </c>
      <c r="H52" s="10" t="n">
        <v>566.96</v>
      </c>
      <c r="I52" s="10" t="n">
        <v>566.96</v>
      </c>
      <c r="J52" s="10" t="n">
        <v>0</v>
      </c>
      <c r="K52" s="10" t="n">
        <v>11</v>
      </c>
      <c r="L52" s="10" t="n">
        <v>326.2</v>
      </c>
      <c r="M52" s="10" t="n">
        <v>326.2</v>
      </c>
      <c r="N52" s="10" t="n">
        <v>0</v>
      </c>
      <c r="O52" s="10" t="n">
        <v>37</v>
      </c>
      <c r="P52" s="10" t="n">
        <v>1454.21</v>
      </c>
      <c r="Q52" s="10" t="n">
        <v>1454.21</v>
      </c>
      <c r="R52" s="10" t="n">
        <v>0</v>
      </c>
      <c r="S52" s="9" t="inlineStr">
        <is>
          <t>個別</t>
        </is>
      </c>
      <c r="T52" s="9" t="n">
        <v>0</v>
      </c>
      <c r="U52" s="9" t="inlineStr">
        <is>
          <t>既得確保</t>
        </is>
      </c>
      <c r="V52" s="9" t="n"/>
      <c r="W52" s="9" t="n"/>
    </row>
    <row r="53">
      <c r="A53" s="7" t="n">
        <v>568417</v>
      </c>
      <c r="B53" s="7" t="inlineStr">
        <is>
          <t>Siru-F Co., Ltd.</t>
        </is>
      </c>
      <c r="C53" s="8" t="n">
        <v>18</v>
      </c>
      <c r="D53" s="8" t="n">
        <v>461.19</v>
      </c>
      <c r="E53" s="8" t="n">
        <v>461.19</v>
      </c>
      <c r="F53" s="8" t="n">
        <v>0</v>
      </c>
      <c r="G53" s="8" t="n">
        <v>17</v>
      </c>
      <c r="H53" s="8" t="n">
        <v>484.19</v>
      </c>
      <c r="I53" s="8" t="n">
        <v>484.19</v>
      </c>
      <c r="J53" s="8" t="n">
        <v>0</v>
      </c>
      <c r="K53" s="8" t="n">
        <v>17</v>
      </c>
      <c r="L53" s="8" t="n">
        <v>493.13</v>
      </c>
      <c r="M53" s="8" t="n">
        <v>493.13</v>
      </c>
      <c r="N53" s="8" t="n">
        <v>0</v>
      </c>
      <c r="O53" s="8" t="n">
        <v>52</v>
      </c>
      <c r="P53" s="8" t="n">
        <v>1438.51</v>
      </c>
      <c r="Q53" s="8" t="n">
        <v>1438.51</v>
      </c>
      <c r="R53" s="8" t="n">
        <v>0</v>
      </c>
      <c r="S53" s="7" t="inlineStr">
        <is>
          <t>個別</t>
        </is>
      </c>
      <c r="T53" s="7" t="n">
        <v>0</v>
      </c>
      <c r="U53" s="7" t="inlineStr">
        <is>
          <t>既得確保</t>
        </is>
      </c>
      <c r="V53" s="7" t="n"/>
      <c r="W53" s="7" t="n"/>
    </row>
    <row r="54">
      <c r="A54" s="9" t="n">
        <v>564041</v>
      </c>
      <c r="B54" s="9" t="inlineStr">
        <is>
          <t>Okamoto, Jinichi</t>
        </is>
      </c>
      <c r="C54" s="10" t="n">
        <v>22</v>
      </c>
      <c r="D54" s="10" t="n">
        <v>471.83</v>
      </c>
      <c r="E54" s="10" t="n">
        <v>471.83</v>
      </c>
      <c r="F54" s="10" t="n">
        <v>0</v>
      </c>
      <c r="G54" s="10" t="n">
        <v>22</v>
      </c>
      <c r="H54" s="10" t="n">
        <v>480.08</v>
      </c>
      <c r="I54" s="10" t="n">
        <v>480.08</v>
      </c>
      <c r="J54" s="10" t="n">
        <v>0</v>
      </c>
      <c r="K54" s="10" t="n">
        <v>22</v>
      </c>
      <c r="L54" s="10" t="n">
        <v>456.58</v>
      </c>
      <c r="M54" s="10" t="n">
        <v>456.58</v>
      </c>
      <c r="N54" s="10" t="n">
        <v>0</v>
      </c>
      <c r="O54" s="10" t="n">
        <v>66</v>
      </c>
      <c r="P54" s="10" t="n">
        <v>1408.49</v>
      </c>
      <c r="Q54" s="10" t="n">
        <v>1408.49</v>
      </c>
      <c r="R54" s="10" t="n">
        <v>0</v>
      </c>
      <c r="S54" s="9" t="inlineStr">
        <is>
          <t>個別</t>
        </is>
      </c>
      <c r="T54" s="9" t="n">
        <v>0</v>
      </c>
      <c r="U54" s="9" t="inlineStr">
        <is>
          <t>既得確保</t>
        </is>
      </c>
      <c r="V54" s="9" t="n"/>
      <c r="W54" s="9" t="n"/>
    </row>
    <row r="55">
      <c r="A55" s="7" t="n">
        <v>567203</v>
      </c>
      <c r="B55" s="7" t="inlineStr">
        <is>
          <t>Kugue, Norimitsu</t>
        </is>
      </c>
      <c r="C55" s="8" t="n">
        <v>71</v>
      </c>
      <c r="D55" s="8" t="n">
        <v>567.63</v>
      </c>
      <c r="E55" s="8" t="n">
        <v>265.26</v>
      </c>
      <c r="F55" s="8" t="n">
        <v>265.26</v>
      </c>
      <c r="G55" s="8" t="n">
        <v>73</v>
      </c>
      <c r="H55" s="8" t="n">
        <v>577.48</v>
      </c>
      <c r="I55" s="8" t="n">
        <v>279.52</v>
      </c>
      <c r="J55" s="8" t="n">
        <v>279.52</v>
      </c>
      <c r="K55" s="8" t="n">
        <v>72</v>
      </c>
      <c r="L55" s="8" t="n">
        <v>258.97</v>
      </c>
      <c r="M55" s="8" t="n">
        <v>128.34</v>
      </c>
      <c r="N55" s="8" t="n">
        <v>128.34</v>
      </c>
      <c r="O55" s="8" t="n">
        <v>216</v>
      </c>
      <c r="P55" s="8" t="n">
        <v>1404.09</v>
      </c>
      <c r="Q55" s="8" t="n">
        <v>673.12</v>
      </c>
      <c r="R55" s="8" t="n">
        <v>673.12</v>
      </c>
      <c r="S55" s="7" t="inlineStr">
        <is>
          <t>1.道下G</t>
        </is>
      </c>
      <c r="T55" s="7" t="inlineStr">
        <is>
          <t>小宮山G</t>
        </is>
      </c>
      <c r="U55" s="7" t="inlineStr">
        <is>
          <t>移籍</t>
        </is>
      </c>
      <c r="V55" s="7" t="n"/>
      <c r="W55" s="7" t="inlineStr">
        <is>
          <t>道下グループ・・・イントロデューサー分も、マネージャーフィー0.25%も道下さんに報告、Goo分は0.25%</t>
        </is>
      </c>
    </row>
    <row r="56">
      <c r="A56" s="9" t="n">
        <v>566078</v>
      </c>
      <c r="B56" s="9" t="inlineStr">
        <is>
          <t>Okuwaki, Ryuta</t>
        </is>
      </c>
      <c r="C56" s="10" t="n">
        <v>14</v>
      </c>
      <c r="D56" s="10" t="n">
        <v>442.93</v>
      </c>
      <c r="E56" s="10" t="n">
        <v>442.93</v>
      </c>
      <c r="F56" s="10" t="n">
        <v>0</v>
      </c>
      <c r="G56" s="10" t="n">
        <v>14</v>
      </c>
      <c r="H56" s="10" t="n">
        <v>488.35</v>
      </c>
      <c r="I56" s="10" t="n">
        <v>488.35</v>
      </c>
      <c r="J56" s="10" t="n">
        <v>0</v>
      </c>
      <c r="K56" s="10" t="n">
        <v>12</v>
      </c>
      <c r="L56" s="10" t="n">
        <v>418.39</v>
      </c>
      <c r="M56" s="10" t="n">
        <v>418.39</v>
      </c>
      <c r="N56" s="10" t="n">
        <v>0</v>
      </c>
      <c r="O56" s="10" t="n">
        <v>40</v>
      </c>
      <c r="P56" s="10" t="n">
        <v>1349.66</v>
      </c>
      <c r="Q56" s="10" t="n">
        <v>1349.66</v>
      </c>
      <c r="R56" s="10" t="n">
        <v>0</v>
      </c>
      <c r="S56" s="9" t="inlineStr">
        <is>
          <t>個別</t>
        </is>
      </c>
      <c r="T56" s="9" t="n">
        <v>0</v>
      </c>
      <c r="U56" s="9" t="inlineStr">
        <is>
          <t>既得確保</t>
        </is>
      </c>
      <c r="V56" s="9" t="n"/>
      <c r="W56" s="9" t="n"/>
    </row>
    <row r="57">
      <c r="A57" s="7" t="n">
        <v>562252</v>
      </c>
      <c r="B57" s="7" t="inlineStr">
        <is>
          <t>Korezawa, Hajime</t>
        </is>
      </c>
      <c r="C57" s="8" t="n">
        <v>18</v>
      </c>
      <c r="D57" s="8" t="n">
        <v>474.01</v>
      </c>
      <c r="E57" s="8" t="n">
        <v>474.01</v>
      </c>
      <c r="F57" s="8" t="n">
        <v>0</v>
      </c>
      <c r="G57" s="8" t="n">
        <v>17</v>
      </c>
      <c r="H57" s="8" t="n">
        <v>440.05</v>
      </c>
      <c r="I57" s="8" t="n">
        <v>440.05</v>
      </c>
      <c r="J57" s="8" t="n">
        <v>0</v>
      </c>
      <c r="K57" s="8" t="n">
        <v>17</v>
      </c>
      <c r="L57" s="8" t="n">
        <v>428.03</v>
      </c>
      <c r="M57" s="8" t="n">
        <v>428.03</v>
      </c>
      <c r="N57" s="8" t="n">
        <v>0</v>
      </c>
      <c r="O57" s="8" t="n">
        <v>52</v>
      </c>
      <c r="P57" s="8" t="n">
        <v>1342.09</v>
      </c>
      <c r="Q57" s="8" t="n">
        <v>1342.09</v>
      </c>
      <c r="R57" s="8" t="n">
        <v>0</v>
      </c>
      <c r="S57" s="7" t="inlineStr">
        <is>
          <t>個別</t>
        </is>
      </c>
      <c r="T57" s="7" t="inlineStr">
        <is>
          <t>これさわさん</t>
        </is>
      </c>
      <c r="U57" s="7" t="inlineStr">
        <is>
          <t>アクティブ</t>
        </is>
      </c>
      <c r="V57" s="7" t="n"/>
      <c r="W57" s="7" t="n"/>
    </row>
    <row r="58">
      <c r="A58" s="9" t="n">
        <v>565583</v>
      </c>
      <c r="B58" s="9" t="inlineStr">
        <is>
          <t>Bank Innovation Co., Ltd.</t>
        </is>
      </c>
      <c r="C58" s="10" t="n">
        <v>32</v>
      </c>
      <c r="D58" s="10" t="n">
        <v>429.18</v>
      </c>
      <c r="E58" s="10" t="n">
        <v>429.18</v>
      </c>
      <c r="F58" s="10" t="n">
        <v>0</v>
      </c>
      <c r="G58" s="10" t="n">
        <v>32</v>
      </c>
      <c r="H58" s="10" t="n">
        <v>437.94</v>
      </c>
      <c r="I58" s="10" t="n">
        <v>437.94</v>
      </c>
      <c r="J58" s="10" t="n">
        <v>0</v>
      </c>
      <c r="K58" s="10" t="n">
        <v>32</v>
      </c>
      <c r="L58" s="10" t="n">
        <v>417.77</v>
      </c>
      <c r="M58" s="10" t="n">
        <v>417.77</v>
      </c>
      <c r="N58" s="10" t="n">
        <v>0</v>
      </c>
      <c r="O58" s="10" t="n">
        <v>96</v>
      </c>
      <c r="P58" s="10" t="n">
        <v>1284.9</v>
      </c>
      <c r="Q58" s="10" t="n">
        <v>1284.9</v>
      </c>
      <c r="R58" s="10" t="n">
        <v>0</v>
      </c>
      <c r="S58" s="9" t="inlineStr">
        <is>
          <t>1.BANK</t>
        </is>
      </c>
      <c r="T58" s="9" t="inlineStr">
        <is>
          <t>BANK直</t>
        </is>
      </c>
      <c r="U58" s="9" t="inlineStr">
        <is>
          <t>アクティブ</t>
        </is>
      </c>
      <c r="V58" s="9" t="n"/>
      <c r="W58" s="9" t="n"/>
    </row>
    <row r="59">
      <c r="A59" s="7" t="n">
        <v>516477</v>
      </c>
      <c r="B59" s="7" t="inlineStr">
        <is>
          <t>Nomura, Kyohei</t>
        </is>
      </c>
      <c r="C59" s="8" t="n">
        <v>20</v>
      </c>
      <c r="D59" s="8" t="n">
        <v>436.59</v>
      </c>
      <c r="E59" s="8" t="n">
        <v>436.59</v>
      </c>
      <c r="F59" s="8" t="n">
        <v>0</v>
      </c>
      <c r="G59" s="8" t="n">
        <v>19</v>
      </c>
      <c r="H59" s="8" t="n">
        <v>432.93</v>
      </c>
      <c r="I59" s="8" t="n">
        <v>432.93</v>
      </c>
      <c r="J59" s="8" t="n">
        <v>0</v>
      </c>
      <c r="K59" s="8" t="n">
        <v>19</v>
      </c>
      <c r="L59" s="8" t="n">
        <v>401.18</v>
      </c>
      <c r="M59" s="8" t="n">
        <v>401.18</v>
      </c>
      <c r="N59" s="8" t="n">
        <v>0</v>
      </c>
      <c r="O59" s="8" t="n">
        <v>58</v>
      </c>
      <c r="P59" s="8" t="n">
        <v>1270.69</v>
      </c>
      <c r="Q59" s="8" t="n">
        <v>1270.69</v>
      </c>
      <c r="R59" s="8" t="n">
        <v>0</v>
      </c>
      <c r="S59" s="7" t="inlineStr">
        <is>
          <t>個別</t>
        </is>
      </c>
      <c r="T59" s="7" t="n">
        <v>0</v>
      </c>
      <c r="U59" s="7" t="inlineStr">
        <is>
          <t>既得確保</t>
        </is>
      </c>
      <c r="V59" s="7" t="n"/>
      <c r="W59" s="7" t="n"/>
    </row>
    <row r="60">
      <c r="A60" s="9" t="n">
        <v>571534</v>
      </c>
      <c r="B60" s="9" t="inlineStr">
        <is>
          <t>Kodama, Keisuke</t>
        </is>
      </c>
      <c r="C60" s="10" t="n">
        <v>23</v>
      </c>
      <c r="D60" s="10" t="n">
        <v>381.11</v>
      </c>
      <c r="E60" s="10" t="n">
        <v>381.11</v>
      </c>
      <c r="F60" s="10" t="n">
        <v>0</v>
      </c>
      <c r="G60" s="10" t="n">
        <v>23</v>
      </c>
      <c r="H60" s="10" t="n">
        <v>426.41</v>
      </c>
      <c r="I60" s="10" t="n">
        <v>426.41</v>
      </c>
      <c r="J60" s="10" t="n">
        <v>0</v>
      </c>
      <c r="K60" s="10" t="n">
        <v>23</v>
      </c>
      <c r="L60" s="10" t="n">
        <v>439.23</v>
      </c>
      <c r="M60" s="10" t="n">
        <v>439.23</v>
      </c>
      <c r="N60" s="10" t="n">
        <v>0</v>
      </c>
      <c r="O60" s="10" t="n">
        <v>69</v>
      </c>
      <c r="P60" s="10" t="n">
        <v>1246.75</v>
      </c>
      <c r="Q60" s="10" t="n">
        <v>1246.75</v>
      </c>
      <c r="R60" s="10" t="n">
        <v>0</v>
      </c>
      <c r="S60" s="9" t="inlineStr">
        <is>
          <t>個別</t>
        </is>
      </c>
      <c r="T60" s="9" t="inlineStr">
        <is>
          <t>児玉G</t>
        </is>
      </c>
      <c r="U60" s="9" t="inlineStr">
        <is>
          <t>アクティブ</t>
        </is>
      </c>
      <c r="V60" s="9" t="n"/>
      <c r="W60" s="9" t="n"/>
    </row>
    <row r="61">
      <c r="A61" s="7" t="n">
        <v>571535</v>
      </c>
      <c r="B61" s="7" t="inlineStr">
        <is>
          <t>Fukushi, Tohei</t>
        </is>
      </c>
      <c r="C61" s="8" t="n">
        <v>31</v>
      </c>
      <c r="D61" s="8" t="n">
        <v>383.52</v>
      </c>
      <c r="E61" s="8" t="n">
        <v>178.14</v>
      </c>
      <c r="F61" s="8" t="n">
        <v>178.14</v>
      </c>
      <c r="G61" s="8" t="n">
        <v>31</v>
      </c>
      <c r="H61" s="8" t="n">
        <v>414.33</v>
      </c>
      <c r="I61" s="8" t="n">
        <v>197.32</v>
      </c>
      <c r="J61" s="8" t="n">
        <v>197.32</v>
      </c>
      <c r="K61" s="8" t="n">
        <v>31</v>
      </c>
      <c r="L61" s="8" t="n">
        <v>446.83</v>
      </c>
      <c r="M61" s="8" t="n">
        <v>214.15</v>
      </c>
      <c r="N61" s="8" t="n">
        <v>214.15</v>
      </c>
      <c r="O61" s="8" t="n">
        <v>93</v>
      </c>
      <c r="P61" s="8" t="n">
        <v>1244.68</v>
      </c>
      <c r="Q61" s="8" t="n">
        <v>589.61</v>
      </c>
      <c r="R61" s="8" t="n">
        <v>589.61</v>
      </c>
      <c r="S61" s="7" t="inlineStr">
        <is>
          <t>12.脇坂G</t>
        </is>
      </c>
      <c r="T61" s="7" t="inlineStr">
        <is>
          <t>4 Capital 傘下</t>
        </is>
      </c>
      <c r="U61" s="7" t="inlineStr">
        <is>
          <t>アクティブ</t>
        </is>
      </c>
      <c r="V61" s="7" t="n"/>
      <c r="W61" s="7" t="inlineStr">
        <is>
          <t>脇坂グループ・・・イントロデューサー分も、マネージャーフィー0.25%も脇坂さんに報告、Goo分は0.25%</t>
        </is>
      </c>
    </row>
    <row r="62">
      <c r="A62" s="9" t="n">
        <v>565553</v>
      </c>
      <c r="B62" s="9" t="inlineStr">
        <is>
          <t>Furuta, Kouichi</t>
        </is>
      </c>
      <c r="C62" s="10" t="n">
        <v>21</v>
      </c>
      <c r="D62" s="10" t="n">
        <v>372.03</v>
      </c>
      <c r="E62" s="10" t="n">
        <v>372.03</v>
      </c>
      <c r="F62" s="10" t="n">
        <v>0</v>
      </c>
      <c r="G62" s="10" t="n">
        <v>21</v>
      </c>
      <c r="H62" s="10" t="n">
        <v>409.56</v>
      </c>
      <c r="I62" s="10" t="n">
        <v>409.56</v>
      </c>
      <c r="J62" s="10" t="n">
        <v>0</v>
      </c>
      <c r="K62" s="10" t="n">
        <v>21</v>
      </c>
      <c r="L62" s="10" t="n">
        <v>410.11</v>
      </c>
      <c r="M62" s="10" t="n">
        <v>410.11</v>
      </c>
      <c r="N62" s="10" t="n">
        <v>0</v>
      </c>
      <c r="O62" s="10" t="n">
        <v>63</v>
      </c>
      <c r="P62" s="10" t="n">
        <v>1191.7</v>
      </c>
      <c r="Q62" s="10" t="n">
        <v>1191.7</v>
      </c>
      <c r="R62" s="10" t="n">
        <v>0</v>
      </c>
      <c r="S62" s="9" t="inlineStr">
        <is>
          <t>個別</t>
        </is>
      </c>
      <c r="T62" s="9" t="n">
        <v>0</v>
      </c>
      <c r="U62" s="9" t="inlineStr">
        <is>
          <t>既得確保</t>
        </is>
      </c>
      <c r="V62" s="9" t="n"/>
      <c r="W62" s="9" t="n"/>
    </row>
    <row r="63">
      <c r="A63" s="7" t="n">
        <v>565643</v>
      </c>
      <c r="B63" s="7" t="inlineStr">
        <is>
          <t>Hasegawa, Kodai</t>
        </is>
      </c>
      <c r="C63" s="8" t="n">
        <v>37</v>
      </c>
      <c r="D63" s="8" t="n">
        <v>634.85</v>
      </c>
      <c r="E63" s="8" t="n">
        <v>634.85</v>
      </c>
      <c r="F63" s="8" t="n">
        <v>0</v>
      </c>
      <c r="G63" s="8" t="n">
        <v>36</v>
      </c>
      <c r="H63" s="8" t="n">
        <v>465.9</v>
      </c>
      <c r="I63" s="8" t="n">
        <v>465.9</v>
      </c>
      <c r="J63" s="8" t="n">
        <v>0</v>
      </c>
      <c r="K63" s="8" t="n">
        <v>9</v>
      </c>
      <c r="L63" s="8" t="n">
        <v>53.41</v>
      </c>
      <c r="M63" s="8" t="n">
        <v>53.41</v>
      </c>
      <c r="N63" s="8" t="n">
        <v>0</v>
      </c>
      <c r="O63" s="8" t="n">
        <v>82</v>
      </c>
      <c r="P63" s="8" t="n">
        <v>1154.16</v>
      </c>
      <c r="Q63" s="8" t="n">
        <v>1154.16</v>
      </c>
      <c r="R63" s="8" t="n">
        <v>0</v>
      </c>
      <c r="S63" s="7" t="inlineStr">
        <is>
          <t>7.長谷川G</t>
        </is>
      </c>
      <c r="T63" s="7" t="n">
        <v>0</v>
      </c>
      <c r="U63" s="7" t="inlineStr">
        <is>
          <t>既得確保</t>
        </is>
      </c>
      <c r="V63" s="7" t="n"/>
      <c r="W63" s="7" t="n"/>
    </row>
    <row r="64">
      <c r="A64" s="9" t="n">
        <v>575103</v>
      </c>
      <c r="B64" s="9" t="inlineStr">
        <is>
          <t>Takahashi, Nobuo</t>
        </is>
      </c>
      <c r="C64" s="10" t="n">
        <v>5</v>
      </c>
      <c r="D64" s="10" t="n">
        <v>320.44</v>
      </c>
      <c r="E64" s="10" t="n">
        <v>320.44</v>
      </c>
      <c r="F64" s="10" t="n">
        <v>0</v>
      </c>
      <c r="G64" s="10" t="n">
        <v>5</v>
      </c>
      <c r="H64" s="10" t="n">
        <v>349.98</v>
      </c>
      <c r="I64" s="10" t="n">
        <v>349.98</v>
      </c>
      <c r="J64" s="10" t="n">
        <v>0</v>
      </c>
      <c r="K64" s="10" t="n">
        <v>5</v>
      </c>
      <c r="L64" s="10" t="n">
        <v>368.73</v>
      </c>
      <c r="M64" s="10" t="n">
        <v>368.73</v>
      </c>
      <c r="N64" s="10" t="n">
        <v>0</v>
      </c>
      <c r="O64" s="10" t="n">
        <v>15</v>
      </c>
      <c r="P64" s="10" t="n">
        <v>1039.14</v>
      </c>
      <c r="Q64" s="10" t="n">
        <v>1039.14</v>
      </c>
      <c r="R64" s="10" t="n">
        <v>0</v>
      </c>
      <c r="S64" s="9" t="inlineStr">
        <is>
          <t>個別</t>
        </is>
      </c>
      <c r="T64" s="9" t="n">
        <v>0</v>
      </c>
      <c r="U64" s="9" t="inlineStr">
        <is>
          <t>アクティブ</t>
        </is>
      </c>
      <c r="V64" s="9" t="n"/>
      <c r="W64" s="9" t="n"/>
    </row>
    <row r="65">
      <c r="A65" s="7" t="n">
        <v>571232</v>
      </c>
      <c r="B65" s="7" t="inlineStr">
        <is>
          <t>Iwing Co Ltd</t>
        </is>
      </c>
      <c r="C65" s="8" t="n">
        <v>6</v>
      </c>
      <c r="D65" s="8" t="n">
        <v>322.49</v>
      </c>
      <c r="E65" s="8" t="n">
        <v>161.25</v>
      </c>
      <c r="F65" s="8" t="n">
        <v>161.25</v>
      </c>
      <c r="G65" s="8" t="n">
        <v>6</v>
      </c>
      <c r="H65" s="8" t="n">
        <v>351.99</v>
      </c>
      <c r="I65" s="8" t="n">
        <v>175.99</v>
      </c>
      <c r="J65" s="8" t="n">
        <v>175.99</v>
      </c>
      <c r="K65" s="8" t="n">
        <v>6</v>
      </c>
      <c r="L65" s="8" t="n">
        <v>351.1</v>
      </c>
      <c r="M65" s="8" t="n">
        <v>175.55</v>
      </c>
      <c r="N65" s="8" t="n">
        <v>175.55</v>
      </c>
      <c r="O65" s="8" t="n">
        <v>18</v>
      </c>
      <c r="P65" s="8" t="n">
        <v>1025.58</v>
      </c>
      <c r="Q65" s="8" t="n">
        <v>512.79</v>
      </c>
      <c r="R65" s="8" t="n">
        <v>512.79</v>
      </c>
      <c r="S65" s="7" t="inlineStr">
        <is>
          <t>12.脇坂G</t>
        </is>
      </c>
      <c r="T65" s="7" t="inlineStr">
        <is>
          <t>Nu-Design.LabG</t>
        </is>
      </c>
      <c r="U65" s="7" t="inlineStr">
        <is>
          <t>アクティブ</t>
        </is>
      </c>
      <c r="V65" s="7" t="n"/>
      <c r="W65" s="7" t="inlineStr">
        <is>
          <t>脇坂グループ・・・イントロデューサー分も、マネージャーフィー0.25%も脇坂さんに報告、Goo分は0.25%</t>
        </is>
      </c>
    </row>
    <row r="66">
      <c r="A66" s="9" t="n">
        <v>570859</v>
      </c>
      <c r="B66" s="9" t="inlineStr">
        <is>
          <t>Kamekawa, Yuya</t>
        </is>
      </c>
      <c r="C66" s="10" t="n">
        <v>38</v>
      </c>
      <c r="D66" s="10" t="n">
        <v>293.27</v>
      </c>
      <c r="E66" s="10" t="n">
        <v>138.08</v>
      </c>
      <c r="F66" s="10" t="n">
        <v>138.08</v>
      </c>
      <c r="G66" s="10" t="n">
        <v>39</v>
      </c>
      <c r="H66" s="10" t="n">
        <v>359.71</v>
      </c>
      <c r="I66" s="10" t="n">
        <v>169.79</v>
      </c>
      <c r="J66" s="10" t="n">
        <v>169.79</v>
      </c>
      <c r="K66" s="10" t="n">
        <v>39</v>
      </c>
      <c r="L66" s="10" t="n">
        <v>373.65</v>
      </c>
      <c r="M66" s="10" t="n">
        <v>176.31</v>
      </c>
      <c r="N66" s="10" t="n">
        <v>176.31</v>
      </c>
      <c r="O66" s="10" t="n">
        <v>116</v>
      </c>
      <c r="P66" s="10" t="n">
        <v>1026.63</v>
      </c>
      <c r="Q66" s="10" t="n">
        <v>484.18</v>
      </c>
      <c r="R66" s="10" t="n">
        <v>484.18</v>
      </c>
      <c r="S66" s="9" t="inlineStr">
        <is>
          <t>1.道下G</t>
        </is>
      </c>
      <c r="T66" s="9" t="inlineStr">
        <is>
          <t>杉本G</t>
        </is>
      </c>
      <c r="U66" s="9" t="inlineStr">
        <is>
          <t>移籍</t>
        </is>
      </c>
      <c r="V66" s="9" t="inlineStr">
        <is>
          <t>全ファイルに記録なし</t>
        </is>
      </c>
      <c r="W66" s="9" t="inlineStr">
        <is>
          <t>道下グループ・・・イントロデューサー分も、マネージャーフィー0.25%も道下さんに報告、Goo分は0.25%</t>
        </is>
      </c>
    </row>
    <row r="67">
      <c r="A67" s="7" t="n">
        <v>566940</v>
      </c>
      <c r="B67" s="7" t="inlineStr">
        <is>
          <t>Cs Corporation</t>
        </is>
      </c>
      <c r="C67" s="8" t="n">
        <v>19</v>
      </c>
      <c r="D67" s="8" t="n">
        <v>281.6</v>
      </c>
      <c r="E67" s="8" t="n">
        <v>140.8</v>
      </c>
      <c r="F67" s="8" t="n">
        <v>140.8</v>
      </c>
      <c r="G67" s="8" t="n">
        <v>19</v>
      </c>
      <c r="H67" s="8" t="n">
        <v>312.08</v>
      </c>
      <c r="I67" s="8" t="n">
        <v>156.04</v>
      </c>
      <c r="J67" s="8" t="n">
        <v>156.04</v>
      </c>
      <c r="K67" s="8" t="n">
        <v>19</v>
      </c>
      <c r="L67" s="8" t="n">
        <v>336.09</v>
      </c>
      <c r="M67" s="8" t="n">
        <v>168.05</v>
      </c>
      <c r="N67" s="8" t="n">
        <v>168.05</v>
      </c>
      <c r="O67" s="8" t="n">
        <v>57</v>
      </c>
      <c r="P67" s="8" t="n">
        <v>929.77</v>
      </c>
      <c r="Q67" s="8" t="n">
        <v>464.89</v>
      </c>
      <c r="R67" s="8" t="n">
        <v>464.89</v>
      </c>
      <c r="S67" s="7" t="inlineStr">
        <is>
          <t>1.道下G</t>
        </is>
      </c>
      <c r="T67" s="7" t="inlineStr">
        <is>
          <t>五十嵐G</t>
        </is>
      </c>
      <c r="U67" s="7" t="inlineStr">
        <is>
          <t>移籍</t>
        </is>
      </c>
      <c r="V67" s="7" t="n"/>
      <c r="W67" s="7" t="inlineStr">
        <is>
          <t>道下グループ・・・イントロデューサー分も、マネージャーフィー0.25%も道下さんに報告、Goo分は0.25%</t>
        </is>
      </c>
    </row>
    <row r="68">
      <c r="A68" s="9" t="n">
        <v>565653</v>
      </c>
      <c r="B68" s="9" t="inlineStr">
        <is>
          <t>Historia Co.,Ltd.</t>
        </is>
      </c>
      <c r="C68" s="10" t="n">
        <v>21</v>
      </c>
      <c r="D68" s="10" t="n">
        <v>298.94</v>
      </c>
      <c r="E68" s="10" t="n">
        <v>149.47</v>
      </c>
      <c r="F68" s="10" t="n">
        <v>149.47</v>
      </c>
      <c r="G68" s="10" t="n">
        <v>21</v>
      </c>
      <c r="H68" s="10" t="n">
        <v>330.04</v>
      </c>
      <c r="I68" s="10" t="n">
        <v>165.02</v>
      </c>
      <c r="J68" s="10" t="n">
        <v>165.02</v>
      </c>
      <c r="K68" s="10" t="n">
        <v>21</v>
      </c>
      <c r="L68" s="10" t="n">
        <v>338.08</v>
      </c>
      <c r="M68" s="10" t="n">
        <v>169.04</v>
      </c>
      <c r="N68" s="10" t="n">
        <v>169.04</v>
      </c>
      <c r="O68" s="10" t="n">
        <v>63</v>
      </c>
      <c r="P68" s="10" t="n">
        <v>967.0700000000001</v>
      </c>
      <c r="Q68" s="10" t="n">
        <v>483.53</v>
      </c>
      <c r="R68" s="10" t="n">
        <v>483.53</v>
      </c>
      <c r="S68" s="9" t="inlineStr">
        <is>
          <t>1.道下G</t>
        </is>
      </c>
      <c r="T68" s="9" t="inlineStr">
        <is>
          <t>小宮山G</t>
        </is>
      </c>
      <c r="U68" s="9" t="inlineStr">
        <is>
          <t>移籍</t>
        </is>
      </c>
      <c r="V68" s="9" t="n"/>
      <c r="W68" s="9" t="inlineStr">
        <is>
          <t>道下グループ・・・イントロデューサー分も、マネージャーフィー0.25%も道下さんに報告、Goo分は0.25%</t>
        </is>
      </c>
    </row>
    <row r="69">
      <c r="A69" s="7" t="n">
        <v>570250</v>
      </c>
      <c r="B69" s="7" t="inlineStr">
        <is>
          <t>Kanakubo, Takehiro</t>
        </is>
      </c>
      <c r="C69" s="8" t="n">
        <v>7</v>
      </c>
      <c r="D69" s="8" t="n">
        <v>290.83</v>
      </c>
      <c r="E69" s="8" t="n">
        <v>145.41</v>
      </c>
      <c r="F69" s="8" t="n">
        <v>145.41</v>
      </c>
      <c r="G69" s="8" t="n">
        <v>7</v>
      </c>
      <c r="H69" s="8" t="n">
        <v>315.39</v>
      </c>
      <c r="I69" s="8" t="n">
        <v>157.69</v>
      </c>
      <c r="J69" s="8" t="n">
        <v>157.69</v>
      </c>
      <c r="K69" s="8" t="n">
        <v>7</v>
      </c>
      <c r="L69" s="8" t="n">
        <v>312.8</v>
      </c>
      <c r="M69" s="8" t="n">
        <v>156.4</v>
      </c>
      <c r="N69" s="8" t="n">
        <v>156.4</v>
      </c>
      <c r="O69" s="8" t="n">
        <v>21</v>
      </c>
      <c r="P69" s="8" t="n">
        <v>919.01</v>
      </c>
      <c r="Q69" s="8" t="n">
        <v>459.51</v>
      </c>
      <c r="R69" s="8" t="n">
        <v>459.51</v>
      </c>
      <c r="S69" s="7" t="inlineStr">
        <is>
          <t>12.脇坂G</t>
        </is>
      </c>
      <c r="T69" s="7" t="inlineStr">
        <is>
          <t>4 Capital 傘下</t>
        </is>
      </c>
      <c r="U69" s="7" t="inlineStr">
        <is>
          <t>既得確保</t>
        </is>
      </c>
      <c r="V69" s="7" t="n"/>
      <c r="W69" s="7" t="inlineStr">
        <is>
          <t>脇坂グループ・・・イントロデューサー分も、マネージャーフィー0.25%も脇坂さんに報告、Goo分は0.25%</t>
        </is>
      </c>
    </row>
    <row r="70">
      <c r="A70" s="9" t="n">
        <v>571954</v>
      </c>
      <c r="B70" s="9" t="inlineStr">
        <is>
          <t>Nakamura, Tomoe</t>
        </is>
      </c>
      <c r="C70" s="10" t="n">
        <v>23</v>
      </c>
      <c r="D70" s="10" t="n">
        <v>267.13</v>
      </c>
      <c r="E70" s="10" t="n">
        <v>133.56</v>
      </c>
      <c r="F70" s="10" t="n">
        <v>133.56</v>
      </c>
      <c r="G70" s="10" t="n">
        <v>23</v>
      </c>
      <c r="H70" s="10" t="n">
        <v>305.88</v>
      </c>
      <c r="I70" s="10" t="n">
        <v>152.94</v>
      </c>
      <c r="J70" s="10" t="n">
        <v>152.94</v>
      </c>
      <c r="K70" s="10" t="n">
        <v>23</v>
      </c>
      <c r="L70" s="10" t="n">
        <v>320.48</v>
      </c>
      <c r="M70" s="10" t="n">
        <v>160.24</v>
      </c>
      <c r="N70" s="10" t="n">
        <v>160.24</v>
      </c>
      <c r="O70" s="10" t="n">
        <v>69</v>
      </c>
      <c r="P70" s="10" t="n">
        <v>893.49</v>
      </c>
      <c r="Q70" s="10" t="n">
        <v>446.74</v>
      </c>
      <c r="R70" s="10" t="n">
        <v>446.74</v>
      </c>
      <c r="S70" s="9" t="inlineStr">
        <is>
          <t>12.脇坂G</t>
        </is>
      </c>
      <c r="T70" s="9" t="inlineStr">
        <is>
          <t>Sequential VisionG</t>
        </is>
      </c>
      <c r="U70" s="9" t="inlineStr">
        <is>
          <t>アクティブ</t>
        </is>
      </c>
      <c r="V70" s="9" t="n"/>
      <c r="W70" s="9" t="inlineStr">
        <is>
          <t>脇坂グループ・・・イントロデューサー分も、マネージャーフィー0.25%も脇坂さんに報告、Goo分は0.25%</t>
        </is>
      </c>
    </row>
    <row r="71">
      <c r="A71" s="7" t="n">
        <v>571634</v>
      </c>
      <c r="B71" s="7" t="inlineStr">
        <is>
          <t>Anzai, Mitsutaka</t>
        </is>
      </c>
      <c r="C71" s="8" t="n">
        <v>13</v>
      </c>
      <c r="D71" s="8" t="n">
        <v>274.1</v>
      </c>
      <c r="E71" s="8" t="n">
        <v>274.1</v>
      </c>
      <c r="F71" s="8" t="n">
        <v>0</v>
      </c>
      <c r="G71" s="8" t="n">
        <v>12</v>
      </c>
      <c r="H71" s="8" t="n">
        <v>299.64</v>
      </c>
      <c r="I71" s="8" t="n">
        <v>299.64</v>
      </c>
      <c r="J71" s="8" t="n">
        <v>0</v>
      </c>
      <c r="K71" s="8" t="n">
        <v>12</v>
      </c>
      <c r="L71" s="8" t="n">
        <v>312.47</v>
      </c>
      <c r="M71" s="8" t="n">
        <v>312.47</v>
      </c>
      <c r="N71" s="8" t="n">
        <v>0</v>
      </c>
      <c r="O71" s="8" t="n">
        <v>37</v>
      </c>
      <c r="P71" s="8" t="n">
        <v>886.21</v>
      </c>
      <c r="Q71" s="8" t="n">
        <v>886.21</v>
      </c>
      <c r="R71" s="8" t="n">
        <v>0</v>
      </c>
      <c r="S71" s="7" t="inlineStr">
        <is>
          <t>7.長谷川G</t>
        </is>
      </c>
      <c r="T71" s="7" t="n">
        <v>0</v>
      </c>
      <c r="U71" s="7" t="inlineStr">
        <is>
          <t>既得確保</t>
        </is>
      </c>
      <c r="V71" s="7" t="n"/>
      <c r="W71" s="7" t="n"/>
    </row>
    <row r="72">
      <c r="A72" s="9" t="n">
        <v>563616</v>
      </c>
      <c r="B72" s="9" t="inlineStr">
        <is>
          <t>Murata, Junko</t>
        </is>
      </c>
      <c r="C72" s="10" t="n">
        <v>16</v>
      </c>
      <c r="D72" s="10" t="n">
        <v>271.56</v>
      </c>
      <c r="E72" s="10" t="n">
        <v>271.56</v>
      </c>
      <c r="F72" s="10" t="n">
        <v>0</v>
      </c>
      <c r="G72" s="10" t="n">
        <v>16</v>
      </c>
      <c r="H72" s="10" t="n">
        <v>290.56</v>
      </c>
      <c r="I72" s="10" t="n">
        <v>290.56</v>
      </c>
      <c r="J72" s="10" t="n">
        <v>0</v>
      </c>
      <c r="K72" s="10" t="n">
        <v>16</v>
      </c>
      <c r="L72" s="10" t="n">
        <v>291.96</v>
      </c>
      <c r="M72" s="10" t="n">
        <v>291.96</v>
      </c>
      <c r="N72" s="10" t="n">
        <v>0</v>
      </c>
      <c r="O72" s="10" t="n">
        <v>48</v>
      </c>
      <c r="P72" s="10" t="n">
        <v>854.0700000000001</v>
      </c>
      <c r="Q72" s="10" t="n">
        <v>854.0700000000001</v>
      </c>
      <c r="R72" s="10" t="n">
        <v>0</v>
      </c>
      <c r="S72" s="9" t="inlineStr">
        <is>
          <t>個別</t>
        </is>
      </c>
      <c r="T72" s="9" t="n">
        <v>0</v>
      </c>
      <c r="U72" s="9" t="inlineStr">
        <is>
          <t>既得確保</t>
        </is>
      </c>
      <c r="V72" s="9" t="n"/>
      <c r="W72" s="9" t="n"/>
    </row>
    <row r="73">
      <c r="A73" s="7" t="n">
        <v>570693</v>
      </c>
      <c r="B73" s="7" t="inlineStr">
        <is>
          <t>Ishii, Satoshi</t>
        </is>
      </c>
      <c r="C73" s="8" t="n">
        <v>29</v>
      </c>
      <c r="D73" s="8" t="n">
        <v>268.3</v>
      </c>
      <c r="E73" s="8" t="n">
        <v>122.96</v>
      </c>
      <c r="F73" s="8" t="n">
        <v>134.15</v>
      </c>
      <c r="G73" s="8" t="n">
        <v>29</v>
      </c>
      <c r="H73" s="8" t="n">
        <v>297.81</v>
      </c>
      <c r="I73" s="8" t="n">
        <v>148.91</v>
      </c>
      <c r="J73" s="8" t="n">
        <v>148.91</v>
      </c>
      <c r="K73" s="8" t="n">
        <v>29</v>
      </c>
      <c r="L73" s="8" t="n">
        <v>305.23</v>
      </c>
      <c r="M73" s="8" t="n">
        <v>152.61</v>
      </c>
      <c r="N73" s="8" t="n">
        <v>152.61</v>
      </c>
      <c r="O73" s="8" t="n">
        <v>87</v>
      </c>
      <c r="P73" s="8" t="n">
        <v>871.34</v>
      </c>
      <c r="Q73" s="8" t="n">
        <v>424.48</v>
      </c>
      <c r="R73" s="8" t="n">
        <v>435.67</v>
      </c>
      <c r="S73" s="7" t="inlineStr">
        <is>
          <t>12.脇坂G</t>
        </is>
      </c>
      <c r="T73" s="7" t="inlineStr">
        <is>
          <t>Ishii G</t>
        </is>
      </c>
      <c r="U73" s="7" t="inlineStr">
        <is>
          <t>アクティブ</t>
        </is>
      </c>
      <c r="V73" s="7" t="n"/>
      <c r="W73" s="7" t="inlineStr">
        <is>
          <t>脇坂グループ・・・イントロデューサー分も、マネージャーフィー0.25%も脇坂さんに報告、Goo分は0.25%</t>
        </is>
      </c>
    </row>
    <row r="74">
      <c r="A74" s="9" t="n">
        <v>560426</v>
      </c>
      <c r="B74" s="9" t="inlineStr">
        <is>
          <t>Yoshizawa, Hajime</t>
        </is>
      </c>
      <c r="C74" s="10" t="n">
        <v>31</v>
      </c>
      <c r="D74" s="10" t="n">
        <v>378.94</v>
      </c>
      <c r="E74" s="10" t="n">
        <v>223.93</v>
      </c>
      <c r="F74" s="10" t="n">
        <v>0</v>
      </c>
      <c r="G74" s="10" t="n">
        <v>31</v>
      </c>
      <c r="H74" s="10" t="n">
        <v>361.56</v>
      </c>
      <c r="I74" s="10" t="n">
        <v>211.99</v>
      </c>
      <c r="J74" s="10" t="n">
        <v>0</v>
      </c>
      <c r="K74" s="10" t="n">
        <v>30</v>
      </c>
      <c r="L74" s="10" t="n">
        <v>307.21</v>
      </c>
      <c r="M74" s="10" t="n">
        <v>169.07</v>
      </c>
      <c r="N74" s="10" t="n">
        <v>0</v>
      </c>
      <c r="O74" s="10" t="n">
        <v>92</v>
      </c>
      <c r="P74" s="10" t="n">
        <v>1047.7</v>
      </c>
      <c r="Q74" s="10" t="n">
        <v>604.98</v>
      </c>
      <c r="R74" s="10" t="n">
        <v>0</v>
      </c>
      <c r="S74" s="9" t="inlineStr">
        <is>
          <t>個別</t>
        </is>
      </c>
      <c r="T74" s="9" t="inlineStr">
        <is>
          <t>Official</t>
        </is>
      </c>
      <c r="U74" s="9" t="inlineStr">
        <is>
          <t>既得確保</t>
        </is>
      </c>
      <c r="V74" s="9" t="n"/>
      <c r="W74" s="9" t="n"/>
    </row>
    <row r="75">
      <c r="A75" s="7" t="n">
        <v>560469</v>
      </c>
      <c r="B75" s="7" t="inlineStr">
        <is>
          <t>Rimpo, Tamu</t>
        </is>
      </c>
      <c r="C75" s="8" t="n">
        <v>7</v>
      </c>
      <c r="D75" s="8" t="n">
        <v>240.4</v>
      </c>
      <c r="E75" s="8" t="n">
        <v>120.2</v>
      </c>
      <c r="F75" s="8" t="n">
        <v>120.2</v>
      </c>
      <c r="G75" s="8" t="n">
        <v>7</v>
      </c>
      <c r="H75" s="8" t="n">
        <v>264.05</v>
      </c>
      <c r="I75" s="8" t="n">
        <v>132.03</v>
      </c>
      <c r="J75" s="8" t="n">
        <v>132.03</v>
      </c>
      <c r="K75" s="8" t="n">
        <v>7</v>
      </c>
      <c r="L75" s="8" t="n">
        <v>282.28</v>
      </c>
      <c r="M75" s="8" t="n">
        <v>141.14</v>
      </c>
      <c r="N75" s="8" t="n">
        <v>141.14</v>
      </c>
      <c r="O75" s="8" t="n">
        <v>21</v>
      </c>
      <c r="P75" s="8" t="n">
        <v>786.74</v>
      </c>
      <c r="Q75" s="8" t="n">
        <v>393.37</v>
      </c>
      <c r="R75" s="8" t="n">
        <v>393.37</v>
      </c>
      <c r="S75" s="7" t="inlineStr">
        <is>
          <t>1.道下G</t>
        </is>
      </c>
      <c r="T75" s="7" t="inlineStr">
        <is>
          <t>道下傘下</t>
        </is>
      </c>
      <c r="U75" s="7" t="inlineStr">
        <is>
          <t>移籍</t>
        </is>
      </c>
      <c r="V75" s="7" t="n"/>
      <c r="W75" s="7" t="inlineStr">
        <is>
          <t>道下グループ・・・イントロデューサー分も、マネージャーフィー0.25%も道下さんに報告、Goo分は0.25%</t>
        </is>
      </c>
    </row>
    <row r="76">
      <c r="A76" s="9" t="n">
        <v>571430</v>
      </c>
      <c r="B76" s="9" t="inlineStr">
        <is>
          <t>Yamagata, Ryo</t>
        </is>
      </c>
      <c r="C76" s="10" t="n">
        <v>22</v>
      </c>
      <c r="D76" s="10" t="n">
        <v>248.16</v>
      </c>
      <c r="E76" s="10" t="n">
        <v>248.16</v>
      </c>
      <c r="F76" s="10" t="n">
        <v>0</v>
      </c>
      <c r="G76" s="10" t="n">
        <v>22</v>
      </c>
      <c r="H76" s="10" t="n">
        <v>259.37</v>
      </c>
      <c r="I76" s="10" t="n">
        <v>259.37</v>
      </c>
      <c r="J76" s="10" t="n">
        <v>0</v>
      </c>
      <c r="K76" s="10" t="n">
        <v>20</v>
      </c>
      <c r="L76" s="10" t="n">
        <v>256.87</v>
      </c>
      <c r="M76" s="10" t="n">
        <v>256.87</v>
      </c>
      <c r="N76" s="10" t="n">
        <v>0</v>
      </c>
      <c r="O76" s="10" t="n">
        <v>64</v>
      </c>
      <c r="P76" s="10" t="n">
        <v>764.38</v>
      </c>
      <c r="Q76" s="10" t="n">
        <v>764.38</v>
      </c>
      <c r="R76" s="10" t="n">
        <v>0</v>
      </c>
      <c r="S76" s="9" t="inlineStr">
        <is>
          <t>個別</t>
        </is>
      </c>
      <c r="T76" s="9" t="inlineStr">
        <is>
          <t>エグゼ</t>
        </is>
      </c>
      <c r="U76" s="9" t="inlineStr">
        <is>
          <t>解除済</t>
        </is>
      </c>
      <c r="V76" s="9" t="n"/>
      <c r="W76" s="9" t="n"/>
    </row>
    <row r="77">
      <c r="A77" s="7" t="n">
        <v>513920</v>
      </c>
      <c r="B77" s="7" t="inlineStr">
        <is>
          <t>Shimizu, Ako</t>
        </is>
      </c>
      <c r="C77" s="8" t="n">
        <v>6</v>
      </c>
      <c r="D77" s="8" t="n">
        <v>278.84</v>
      </c>
      <c r="E77" s="8" t="n">
        <v>278.84</v>
      </c>
      <c r="F77" s="8" t="n">
        <v>0</v>
      </c>
      <c r="G77" s="8" t="n">
        <v>6</v>
      </c>
      <c r="H77" s="8" t="n">
        <v>255.58</v>
      </c>
      <c r="I77" s="8" t="n">
        <v>255.58</v>
      </c>
      <c r="J77" s="8" t="n">
        <v>0</v>
      </c>
      <c r="K77" s="8" t="n">
        <v>6</v>
      </c>
      <c r="L77" s="8" t="n">
        <v>214.14</v>
      </c>
      <c r="M77" s="8" t="n">
        <v>214.14</v>
      </c>
      <c r="N77" s="8" t="n">
        <v>0</v>
      </c>
      <c r="O77" s="8" t="n">
        <v>18</v>
      </c>
      <c r="P77" s="8" t="n">
        <v>748.5700000000001</v>
      </c>
      <c r="Q77" s="8" t="n">
        <v>748.5700000000001</v>
      </c>
      <c r="R77" s="8" t="n">
        <v>0</v>
      </c>
      <c r="S77" s="7" t="inlineStr">
        <is>
          <t>個別</t>
        </is>
      </c>
      <c r="T77" s="7" t="n">
        <v>0</v>
      </c>
      <c r="U77" s="7" t="inlineStr">
        <is>
          <t>既得確保</t>
        </is>
      </c>
      <c r="V77" s="7" t="n"/>
      <c r="W77" s="7" t="n"/>
    </row>
    <row r="78">
      <c r="A78" s="9" t="n">
        <v>570231</v>
      </c>
      <c r="B78" s="9" t="inlineStr">
        <is>
          <t>Tomita, Yasumitsu</t>
        </is>
      </c>
      <c r="C78" s="10" t="n">
        <v>17</v>
      </c>
      <c r="D78" s="10" t="n">
        <v>220.47</v>
      </c>
      <c r="E78" s="10" t="n">
        <v>220.47</v>
      </c>
      <c r="F78" s="10" t="n">
        <v>0</v>
      </c>
      <c r="G78" s="10" t="n">
        <v>17</v>
      </c>
      <c r="H78" s="10" t="n">
        <v>248.75</v>
      </c>
      <c r="I78" s="10" t="n">
        <v>248.75</v>
      </c>
      <c r="J78" s="10" t="n">
        <v>0</v>
      </c>
      <c r="K78" s="10" t="n">
        <v>17</v>
      </c>
      <c r="L78" s="10" t="n">
        <v>267.13</v>
      </c>
      <c r="M78" s="10" t="n">
        <v>267.13</v>
      </c>
      <c r="N78" s="10" t="n">
        <v>0</v>
      </c>
      <c r="O78" s="10" t="n">
        <v>51</v>
      </c>
      <c r="P78" s="10" t="n">
        <v>736.36</v>
      </c>
      <c r="Q78" s="10" t="n">
        <v>736.36</v>
      </c>
      <c r="R78" s="10" t="n">
        <v>0</v>
      </c>
      <c r="S78" s="9" t="inlineStr">
        <is>
          <t>7.長谷川G</t>
        </is>
      </c>
      <c r="T78" s="9" t="n">
        <v>0</v>
      </c>
      <c r="U78" s="9" t="inlineStr">
        <is>
          <t>既得確保</t>
        </is>
      </c>
      <c r="V78" s="9" t="n"/>
      <c r="W78" s="9" t="n"/>
    </row>
    <row r="79">
      <c r="A79" s="7" t="n">
        <v>573600</v>
      </c>
      <c r="B79" s="7" t="inlineStr">
        <is>
          <t>Fukuda, Takuya</t>
        </is>
      </c>
      <c r="C79" s="8" t="n">
        <v>14</v>
      </c>
      <c r="D79" s="8" t="n">
        <v>224.03</v>
      </c>
      <c r="E79" s="8" t="n">
        <v>224.03</v>
      </c>
      <c r="F79" s="8" t="n">
        <v>0</v>
      </c>
      <c r="G79" s="8" t="n">
        <v>14</v>
      </c>
      <c r="H79" s="8" t="n">
        <v>248.35</v>
      </c>
      <c r="I79" s="8" t="n">
        <v>248.35</v>
      </c>
      <c r="J79" s="8" t="n">
        <v>0</v>
      </c>
      <c r="K79" s="8" t="n">
        <v>14</v>
      </c>
      <c r="L79" s="8" t="n">
        <v>248.64</v>
      </c>
      <c r="M79" s="8" t="n">
        <v>248.64</v>
      </c>
      <c r="N79" s="8" t="n">
        <v>0</v>
      </c>
      <c r="O79" s="8" t="n">
        <v>42</v>
      </c>
      <c r="P79" s="8" t="n">
        <v>721.01</v>
      </c>
      <c r="Q79" s="8" t="n">
        <v>721.01</v>
      </c>
      <c r="R79" s="8" t="n">
        <v>0</v>
      </c>
      <c r="S79" s="7" t="inlineStr">
        <is>
          <t>個別</t>
        </is>
      </c>
      <c r="T79" s="7" t="inlineStr">
        <is>
          <t>T-edgeG</t>
        </is>
      </c>
      <c r="U79" s="7" t="inlineStr">
        <is>
          <t>アクティブ</t>
        </is>
      </c>
      <c r="V79" s="7" t="n"/>
      <c r="W79" s="7" t="n"/>
    </row>
    <row r="80">
      <c r="A80" s="9" t="n">
        <v>570858</v>
      </c>
      <c r="B80" s="9" t="inlineStr">
        <is>
          <t>Takeda, Shogo</t>
        </is>
      </c>
      <c r="C80" s="10" t="n">
        <v>20</v>
      </c>
      <c r="D80" s="10" t="n">
        <v>208.06</v>
      </c>
      <c r="E80" s="10" t="n">
        <v>104.03</v>
      </c>
      <c r="F80" s="10" t="n">
        <v>104.03</v>
      </c>
      <c r="G80" s="10" t="n">
        <v>21</v>
      </c>
      <c r="H80" s="10" t="n">
        <v>230.69</v>
      </c>
      <c r="I80" s="10" t="n">
        <v>115.34</v>
      </c>
      <c r="J80" s="10" t="n">
        <v>115.34</v>
      </c>
      <c r="K80" s="10" t="n">
        <v>21</v>
      </c>
      <c r="L80" s="10" t="n">
        <v>262.97</v>
      </c>
      <c r="M80" s="10" t="n">
        <v>131.48</v>
      </c>
      <c r="N80" s="10" t="n">
        <v>131.48</v>
      </c>
      <c r="O80" s="10" t="n">
        <v>62</v>
      </c>
      <c r="P80" s="10" t="n">
        <v>701.72</v>
      </c>
      <c r="Q80" s="10" t="n">
        <v>350.86</v>
      </c>
      <c r="R80" s="10" t="n">
        <v>350.86</v>
      </c>
      <c r="S80" s="9" t="inlineStr">
        <is>
          <t>1.道下G</t>
        </is>
      </c>
      <c r="T80" s="9" t="inlineStr">
        <is>
          <t>杉本G</t>
        </is>
      </c>
      <c r="U80" s="9" t="inlineStr">
        <is>
          <t>移籍</t>
        </is>
      </c>
      <c r="V80" s="9" t="n"/>
      <c r="W80" s="9" t="inlineStr">
        <is>
          <t>道下グループ・・・イントロデューサー分も、マネージャーフィー0.25%も道下さんに報告、Goo分は0.25%</t>
        </is>
      </c>
    </row>
    <row r="81">
      <c r="A81" s="7" t="n">
        <v>570230</v>
      </c>
      <c r="B81" s="7" t="inlineStr">
        <is>
          <t>Ido, Kazutoshi</t>
        </is>
      </c>
      <c r="C81" s="8" t="n">
        <v>26</v>
      </c>
      <c r="D81" s="8" t="n">
        <v>219.74</v>
      </c>
      <c r="E81" s="8" t="n">
        <v>106.15</v>
      </c>
      <c r="F81" s="8" t="n">
        <v>109.87</v>
      </c>
      <c r="G81" s="8" t="n">
        <v>26</v>
      </c>
      <c r="H81" s="8" t="n">
        <v>235.8</v>
      </c>
      <c r="I81" s="8" t="n">
        <v>117.9</v>
      </c>
      <c r="J81" s="8" t="n">
        <v>117.9</v>
      </c>
      <c r="K81" s="8" t="n">
        <v>26</v>
      </c>
      <c r="L81" s="8" t="n">
        <v>243.4</v>
      </c>
      <c r="M81" s="8" t="n">
        <v>121.7</v>
      </c>
      <c r="N81" s="8" t="n">
        <v>121.7</v>
      </c>
      <c r="O81" s="8" t="n">
        <v>78</v>
      </c>
      <c r="P81" s="8" t="n">
        <v>698.9299999999999</v>
      </c>
      <c r="Q81" s="8" t="n">
        <v>345.75</v>
      </c>
      <c r="R81" s="8" t="n">
        <v>349.47</v>
      </c>
      <c r="S81" s="7" t="inlineStr">
        <is>
          <t>1.道下G</t>
        </is>
      </c>
      <c r="T81" s="7" t="inlineStr">
        <is>
          <t>小宮山G</t>
        </is>
      </c>
      <c r="U81" s="7" t="inlineStr">
        <is>
          <t>移籍</t>
        </is>
      </c>
      <c r="V81" s="7" t="n"/>
      <c r="W81" s="7" t="inlineStr">
        <is>
          <t>道下グループ・・・イントロデューサー分も、マネージャーフィー0.25%も道下さんに報告、Goo分は0.25%</t>
        </is>
      </c>
    </row>
    <row r="82">
      <c r="A82" s="9" t="n">
        <v>566842</v>
      </c>
      <c r="B82" s="9" t="inlineStr">
        <is>
          <t>Tubes Co., Ltd.</t>
        </is>
      </c>
      <c r="C82" s="10" t="n">
        <v>22</v>
      </c>
      <c r="D82" s="10" t="n">
        <v>213.88</v>
      </c>
      <c r="E82" s="10" t="n">
        <v>106.94</v>
      </c>
      <c r="F82" s="10" t="n">
        <v>106.94</v>
      </c>
      <c r="G82" s="10" t="n">
        <v>21</v>
      </c>
      <c r="H82" s="10" t="n">
        <v>225.19</v>
      </c>
      <c r="I82" s="10" t="n">
        <v>112.59</v>
      </c>
      <c r="J82" s="10" t="n">
        <v>112.59</v>
      </c>
      <c r="K82" s="10" t="n">
        <v>21</v>
      </c>
      <c r="L82" s="10" t="n">
        <v>249.87</v>
      </c>
      <c r="M82" s="10" t="n">
        <v>124.94</v>
      </c>
      <c r="N82" s="10" t="n">
        <v>124.94</v>
      </c>
      <c r="O82" s="10" t="n">
        <v>64</v>
      </c>
      <c r="P82" s="10" t="n">
        <v>688.9400000000001</v>
      </c>
      <c r="Q82" s="10" t="n">
        <v>344.47</v>
      </c>
      <c r="R82" s="10" t="n">
        <v>344.47</v>
      </c>
      <c r="S82" s="9" t="inlineStr">
        <is>
          <t>1.道下G</t>
        </is>
      </c>
      <c r="T82" s="9" t="inlineStr">
        <is>
          <t>杉本G</t>
        </is>
      </c>
      <c r="U82" s="9" t="inlineStr">
        <is>
          <t>移籍</t>
        </is>
      </c>
      <c r="V82" s="9" t="n"/>
      <c r="W82" s="9" t="inlineStr">
        <is>
          <t>道下グループ・・・イントロデューサー分も、マネージャーフィー0.25%も道下さんに報告、Goo分は0.25%</t>
        </is>
      </c>
    </row>
    <row r="83">
      <c r="A83" s="7" t="n">
        <v>576010</v>
      </c>
      <c r="B83" s="7" t="inlineStr">
        <is>
          <t>Sawai, Kana</t>
        </is>
      </c>
      <c r="C83" s="8" t="n">
        <v>22</v>
      </c>
      <c r="D83" s="8" t="n">
        <v>210.72</v>
      </c>
      <c r="E83" s="8" t="n">
        <v>210.72</v>
      </c>
      <c r="F83" s="8" t="n">
        <v>0</v>
      </c>
      <c r="G83" s="8" t="n">
        <v>22</v>
      </c>
      <c r="H83" s="8" t="n">
        <v>230.33</v>
      </c>
      <c r="I83" s="8" t="n">
        <v>230.33</v>
      </c>
      <c r="J83" s="8" t="n">
        <v>0</v>
      </c>
      <c r="K83" s="8" t="n">
        <v>22</v>
      </c>
      <c r="L83" s="8" t="n">
        <v>246.32</v>
      </c>
      <c r="M83" s="8" t="n">
        <v>246.32</v>
      </c>
      <c r="N83" s="8" t="n">
        <v>0</v>
      </c>
      <c r="O83" s="8" t="n">
        <v>66</v>
      </c>
      <c r="P83" s="8" t="n">
        <v>687.38</v>
      </c>
      <c r="Q83" s="8" t="n">
        <v>687.38</v>
      </c>
      <c r="R83" s="8" t="n">
        <v>0</v>
      </c>
      <c r="S83" s="7" t="inlineStr">
        <is>
          <t>報告しない＞他社</t>
        </is>
      </c>
      <c r="T83" s="7" t="n"/>
      <c r="U83" s="7" t="n"/>
      <c r="V83" s="7" t="n"/>
      <c r="W83" s="7" t="n"/>
    </row>
    <row r="84">
      <c r="A84" s="9" t="n">
        <v>568358</v>
      </c>
      <c r="B84" s="9" t="inlineStr">
        <is>
          <t>Aoki, Yuko</t>
        </is>
      </c>
      <c r="C84" s="10" t="n">
        <v>8</v>
      </c>
      <c r="D84" s="10" t="n">
        <v>220.27</v>
      </c>
      <c r="E84" s="10" t="n">
        <v>220.27</v>
      </c>
      <c r="F84" s="10" t="n">
        <v>0</v>
      </c>
      <c r="G84" s="10" t="n">
        <v>8</v>
      </c>
      <c r="H84" s="10" t="n">
        <v>244.88</v>
      </c>
      <c r="I84" s="10" t="n">
        <v>244.88</v>
      </c>
      <c r="J84" s="10" t="n">
        <v>0</v>
      </c>
      <c r="K84" s="10" t="n">
        <v>7</v>
      </c>
      <c r="L84" s="10" t="n">
        <v>201.93</v>
      </c>
      <c r="M84" s="10" t="n">
        <v>201.93</v>
      </c>
      <c r="N84" s="10" t="n">
        <v>0</v>
      </c>
      <c r="O84" s="10" t="n">
        <v>23</v>
      </c>
      <c r="P84" s="10" t="n">
        <v>667.0700000000001</v>
      </c>
      <c r="Q84" s="10" t="n">
        <v>667.0700000000001</v>
      </c>
      <c r="R84" s="10" t="n">
        <v>0</v>
      </c>
      <c r="S84" s="9" t="inlineStr">
        <is>
          <t>個別</t>
        </is>
      </c>
      <c r="T84" s="9" t="n">
        <v>0</v>
      </c>
      <c r="U84" s="9" t="inlineStr">
        <is>
          <t>既得確保</t>
        </is>
      </c>
      <c r="V84" s="9" t="n"/>
      <c r="W84" s="9" t="n"/>
    </row>
    <row r="85">
      <c r="A85" s="7" t="n">
        <v>571052</v>
      </c>
      <c r="B85" s="7" t="inlineStr">
        <is>
          <t>Sunakawa, Haruhisa</t>
        </is>
      </c>
      <c r="C85" s="8" t="n">
        <v>15</v>
      </c>
      <c r="D85" s="8" t="n">
        <v>210.72</v>
      </c>
      <c r="E85" s="8" t="n">
        <v>97.17</v>
      </c>
      <c r="F85" s="8" t="n">
        <v>97.17</v>
      </c>
      <c r="G85" s="8" t="n">
        <v>14</v>
      </c>
      <c r="H85" s="8" t="n">
        <v>230.09</v>
      </c>
      <c r="I85" s="8" t="n">
        <v>106.04</v>
      </c>
      <c r="J85" s="8" t="n">
        <v>106.04</v>
      </c>
      <c r="K85" s="8" t="n">
        <v>14</v>
      </c>
      <c r="L85" s="8" t="n">
        <v>234.68</v>
      </c>
      <c r="M85" s="8" t="n">
        <v>108.3</v>
      </c>
      <c r="N85" s="8" t="n">
        <v>108.3</v>
      </c>
      <c r="O85" s="8" t="n">
        <v>43</v>
      </c>
      <c r="P85" s="8" t="n">
        <v>675.5</v>
      </c>
      <c r="Q85" s="8" t="n">
        <v>311.51</v>
      </c>
      <c r="R85" s="8" t="n">
        <v>311.51</v>
      </c>
      <c r="S85" s="7" t="inlineStr">
        <is>
          <t>12.脇坂G</t>
        </is>
      </c>
      <c r="T85" s="7" t="inlineStr">
        <is>
          <t>HMT G</t>
        </is>
      </c>
      <c r="U85" s="7" t="inlineStr">
        <is>
          <t>アクティブ</t>
        </is>
      </c>
      <c r="V85" s="7" t="n"/>
      <c r="W85" s="7" t="inlineStr">
        <is>
          <t>脇坂グループ・・・イントロデューサー分も、マネージャーフィー0.25%も脇坂さんに報告、Goo分は0.25%</t>
        </is>
      </c>
    </row>
    <row r="86">
      <c r="A86" s="9" t="n">
        <v>560851</v>
      </c>
      <c r="B86" s="9" t="inlineStr">
        <is>
          <t>Taguchi, Kanako</t>
        </is>
      </c>
      <c r="C86" s="10" t="n">
        <v>9</v>
      </c>
      <c r="D86" s="10" t="n">
        <v>213.57</v>
      </c>
      <c r="E86" s="10" t="n">
        <v>106.78</v>
      </c>
      <c r="F86" s="10" t="n">
        <v>106.78</v>
      </c>
      <c r="G86" s="10" t="n">
        <v>8</v>
      </c>
      <c r="H86" s="10" t="n">
        <v>224.22</v>
      </c>
      <c r="I86" s="10" t="n">
        <v>112.11</v>
      </c>
      <c r="J86" s="10" t="n">
        <v>112.11</v>
      </c>
      <c r="K86" s="10" t="n">
        <v>7</v>
      </c>
      <c r="L86" s="10" t="n">
        <v>200.47</v>
      </c>
      <c r="M86" s="10" t="n">
        <v>100.23</v>
      </c>
      <c r="N86" s="10" t="n">
        <v>100.23</v>
      </c>
      <c r="O86" s="10" t="n">
        <v>24</v>
      </c>
      <c r="P86" s="10" t="n">
        <v>638.25</v>
      </c>
      <c r="Q86" s="10" t="n">
        <v>319.12</v>
      </c>
      <c r="R86" s="10" t="n">
        <v>319.12</v>
      </c>
      <c r="S86" s="9" t="inlineStr">
        <is>
          <t>1.道下G</t>
        </is>
      </c>
      <c r="T86" s="9" t="inlineStr">
        <is>
          <t>杉本G</t>
        </is>
      </c>
      <c r="U86" s="9" t="inlineStr">
        <is>
          <t>移籍</t>
        </is>
      </c>
      <c r="V86" s="9" t="n"/>
      <c r="W86" s="9" t="inlineStr">
        <is>
          <t>道下グループ・・・イントロデューサー分も、マネージャーフィー0.25%も道下さんに報告、Goo分は0.25%</t>
        </is>
      </c>
    </row>
    <row r="87">
      <c r="A87" s="7" t="n">
        <v>565702</v>
      </c>
      <c r="B87" s="7" t="inlineStr">
        <is>
          <t>COCOHOME Co., Ltd.</t>
        </is>
      </c>
      <c r="C87" s="8" t="n">
        <v>16</v>
      </c>
      <c r="D87" s="8" t="n">
        <v>228.41</v>
      </c>
      <c r="E87" s="8" t="n">
        <v>228.41</v>
      </c>
      <c r="F87" s="8" t="n">
        <v>0</v>
      </c>
      <c r="G87" s="8" t="n">
        <v>15</v>
      </c>
      <c r="H87" s="8" t="n">
        <v>203.66</v>
      </c>
      <c r="I87" s="8" t="n">
        <v>203.66</v>
      </c>
      <c r="J87" s="8" t="n">
        <v>0</v>
      </c>
      <c r="K87" s="8" t="n">
        <v>14</v>
      </c>
      <c r="L87" s="8" t="n">
        <v>187.91</v>
      </c>
      <c r="M87" s="8" t="n">
        <v>187.91</v>
      </c>
      <c r="N87" s="8" t="n">
        <v>0</v>
      </c>
      <c r="O87" s="8" t="n">
        <v>45</v>
      </c>
      <c r="P87" s="8" t="n">
        <v>619.99</v>
      </c>
      <c r="Q87" s="8" t="n">
        <v>619.99</v>
      </c>
      <c r="R87" s="8" t="n">
        <v>0</v>
      </c>
      <c r="S87" s="7" t="inlineStr">
        <is>
          <t>個別</t>
        </is>
      </c>
      <c r="T87" s="7" t="n">
        <v>0</v>
      </c>
      <c r="U87" s="7" t="inlineStr">
        <is>
          <t>既得確保</t>
        </is>
      </c>
      <c r="V87" s="7" t="n"/>
      <c r="W87" s="7" t="n"/>
    </row>
    <row r="88">
      <c r="A88" s="9" t="n">
        <v>569348</v>
      </c>
      <c r="B88" s="9" t="inlineStr">
        <is>
          <t>Nonogaki, Akihiro</t>
        </is>
      </c>
      <c r="C88" s="10" t="n">
        <v>6</v>
      </c>
      <c r="D88" s="10" t="n">
        <v>197.02</v>
      </c>
      <c r="E88" s="10" t="n">
        <v>197.02</v>
      </c>
      <c r="F88" s="10" t="n">
        <v>0</v>
      </c>
      <c r="G88" s="10" t="n">
        <v>7</v>
      </c>
      <c r="H88" s="10" t="n">
        <v>206.19</v>
      </c>
      <c r="I88" s="10" t="n">
        <v>206.19</v>
      </c>
      <c r="J88" s="10" t="n">
        <v>0</v>
      </c>
      <c r="K88" s="10" t="n">
        <v>9</v>
      </c>
      <c r="L88" s="10" t="n">
        <v>207.5</v>
      </c>
      <c r="M88" s="10" t="n">
        <v>207.5</v>
      </c>
      <c r="N88" s="10" t="n">
        <v>0</v>
      </c>
      <c r="O88" s="10" t="n">
        <v>22</v>
      </c>
      <c r="P88" s="10" t="n">
        <v>610.72</v>
      </c>
      <c r="Q88" s="10" t="n">
        <v>610.72</v>
      </c>
      <c r="R88" s="10" t="n">
        <v>0</v>
      </c>
      <c r="S88" s="9" t="inlineStr">
        <is>
          <t>3.CHARM Co., Ltd.</t>
        </is>
      </c>
      <c r="T88" s="9" t="n">
        <v>0</v>
      </c>
      <c r="U88" s="9" t="inlineStr">
        <is>
          <t>既得確保</t>
        </is>
      </c>
      <c r="V88" s="9" t="n"/>
      <c r="W88" s="9" t="n"/>
    </row>
    <row r="89">
      <c r="A89" s="7" t="n">
        <v>570234</v>
      </c>
      <c r="B89" s="7" t="inlineStr">
        <is>
          <t>Finterest Co., Ltd.</t>
        </is>
      </c>
      <c r="C89" s="8" t="n">
        <v>13</v>
      </c>
      <c r="D89" s="8" t="n">
        <v>169.47</v>
      </c>
      <c r="E89" s="8" t="n">
        <v>169.47</v>
      </c>
      <c r="F89" s="8" t="n">
        <v>0</v>
      </c>
      <c r="G89" s="8" t="n">
        <v>16</v>
      </c>
      <c r="H89" s="8" t="n">
        <v>202.8</v>
      </c>
      <c r="I89" s="8" t="n">
        <v>202.8</v>
      </c>
      <c r="J89" s="8" t="n">
        <v>0</v>
      </c>
      <c r="K89" s="8" t="n">
        <v>20</v>
      </c>
      <c r="L89" s="8" t="n">
        <v>227.37</v>
      </c>
      <c r="M89" s="8" t="n">
        <v>227.37</v>
      </c>
      <c r="N89" s="8" t="n">
        <v>0</v>
      </c>
      <c r="O89" s="8" t="n">
        <v>49</v>
      </c>
      <c r="P89" s="8" t="n">
        <v>599.63</v>
      </c>
      <c r="Q89" s="8" t="n">
        <v>599.63</v>
      </c>
      <c r="R89" s="8" t="n">
        <v>0</v>
      </c>
      <c r="S89" s="7" t="inlineStr">
        <is>
          <t>1.BANK</t>
        </is>
      </c>
      <c r="T89" s="7" t="inlineStr">
        <is>
          <t>パクさん</t>
        </is>
      </c>
      <c r="U89" s="7" t="inlineStr">
        <is>
          <t>アクティブ</t>
        </is>
      </c>
      <c r="V89" s="7" t="n"/>
      <c r="W89" s="7" t="n"/>
    </row>
    <row r="90">
      <c r="A90" s="9" t="n">
        <v>560380</v>
      </c>
      <c r="B90" s="9" t="inlineStr">
        <is>
          <t>Shotime, LLC</t>
        </is>
      </c>
      <c r="C90" s="10" t="n">
        <v>6</v>
      </c>
      <c r="D90" s="10" t="n">
        <v>283.32</v>
      </c>
      <c r="E90" s="10" t="n">
        <v>141.66</v>
      </c>
      <c r="F90" s="10" t="n">
        <v>141.66</v>
      </c>
      <c r="G90" s="10" t="n">
        <v>6</v>
      </c>
      <c r="H90" s="10" t="n">
        <v>307.04</v>
      </c>
      <c r="I90" s="10" t="n">
        <v>153.52</v>
      </c>
      <c r="J90" s="10" t="n">
        <v>153.52</v>
      </c>
      <c r="K90" s="10" t="n">
        <v>6</v>
      </c>
      <c r="L90" s="10" t="n">
        <v>288.86</v>
      </c>
      <c r="M90" s="10" t="n">
        <v>144.43</v>
      </c>
      <c r="N90" s="10" t="n">
        <v>144.43</v>
      </c>
      <c r="O90" s="10" t="n">
        <v>18</v>
      </c>
      <c r="P90" s="10" t="n">
        <v>879.22</v>
      </c>
      <c r="Q90" s="10" t="n">
        <v>439.61</v>
      </c>
      <c r="R90" s="10" t="n">
        <v>439.61</v>
      </c>
      <c r="S90" s="9" t="inlineStr">
        <is>
          <t>1.道下G</t>
        </is>
      </c>
      <c r="T90" s="9" t="inlineStr">
        <is>
          <t>道下傘下</t>
        </is>
      </c>
      <c r="U90" s="9" t="inlineStr">
        <is>
          <t>移籍</t>
        </is>
      </c>
      <c r="V90" s="9" t="n"/>
      <c r="W90" s="9" t="inlineStr">
        <is>
          <t>道下グループ・・・イントロデューサー分も、マネージャーフィー0.25%も道下さんに報告、Goo分は0.25%</t>
        </is>
      </c>
    </row>
    <row r="91">
      <c r="A91" s="7" t="n">
        <v>562196</v>
      </c>
      <c r="B91" s="7" t="inlineStr">
        <is>
          <t>Sasaki, Noriyuki</t>
        </is>
      </c>
      <c r="C91" s="8" t="n">
        <v>10</v>
      </c>
      <c r="D91" s="8" t="n">
        <v>187.77</v>
      </c>
      <c r="E91" s="8" t="n">
        <v>93.89</v>
      </c>
      <c r="F91" s="8" t="n">
        <v>93.89</v>
      </c>
      <c r="G91" s="8" t="n">
        <v>10</v>
      </c>
      <c r="H91" s="8" t="n">
        <v>202.61</v>
      </c>
      <c r="I91" s="8" t="n">
        <v>101.31</v>
      </c>
      <c r="J91" s="8" t="n">
        <v>101.31</v>
      </c>
      <c r="K91" s="8" t="n">
        <v>10</v>
      </c>
      <c r="L91" s="8" t="n">
        <v>213.39</v>
      </c>
      <c r="M91" s="8" t="n">
        <v>106.69</v>
      </c>
      <c r="N91" s="8" t="n">
        <v>106.69</v>
      </c>
      <c r="O91" s="8" t="n">
        <v>30</v>
      </c>
      <c r="P91" s="8" t="n">
        <v>603.77</v>
      </c>
      <c r="Q91" s="8" t="n">
        <v>301.89</v>
      </c>
      <c r="R91" s="8" t="n">
        <v>301.89</v>
      </c>
      <c r="S91" s="7" t="inlineStr">
        <is>
          <t>1.道下G</t>
        </is>
      </c>
      <c r="T91" s="7" t="inlineStr">
        <is>
          <t>杉本G</t>
        </is>
      </c>
      <c r="U91" s="7" t="inlineStr">
        <is>
          <t>移籍</t>
        </is>
      </c>
      <c r="V91" s="7" t="n"/>
      <c r="W91" s="7" t="inlineStr">
        <is>
          <t>道下グループ・・・イントロデューサー分も、マネージャーフィー0.25%も道下さんに報告、Goo分は0.25%</t>
        </is>
      </c>
    </row>
    <row r="92">
      <c r="A92" s="9" t="n">
        <v>571066</v>
      </c>
      <c r="B92" s="9" t="inlineStr">
        <is>
          <t>Iio, Shogo</t>
        </is>
      </c>
      <c r="C92" s="10" t="n">
        <v>11</v>
      </c>
      <c r="D92" s="10" t="n">
        <v>180.66</v>
      </c>
      <c r="E92" s="10" t="n">
        <v>90.33</v>
      </c>
      <c r="F92" s="10" t="n">
        <v>90.33</v>
      </c>
      <c r="G92" s="10" t="n">
        <v>11</v>
      </c>
      <c r="H92" s="10" t="n">
        <v>197.09</v>
      </c>
      <c r="I92" s="10" t="n">
        <v>98.54000000000001</v>
      </c>
      <c r="J92" s="10" t="n">
        <v>98.54000000000001</v>
      </c>
      <c r="K92" s="10" t="n">
        <v>11</v>
      </c>
      <c r="L92" s="10" t="n">
        <v>198.18</v>
      </c>
      <c r="M92" s="10" t="n">
        <v>99.09</v>
      </c>
      <c r="N92" s="10" t="n">
        <v>99.09</v>
      </c>
      <c r="O92" s="10" t="n">
        <v>33</v>
      </c>
      <c r="P92" s="10" t="n">
        <v>575.9299999999999</v>
      </c>
      <c r="Q92" s="10" t="n">
        <v>287.96</v>
      </c>
      <c r="R92" s="10" t="n">
        <v>287.96</v>
      </c>
      <c r="S92" s="9" t="inlineStr">
        <is>
          <t>12.脇坂G</t>
        </is>
      </c>
      <c r="T92" s="9" t="inlineStr">
        <is>
          <t>Ikikata G</t>
        </is>
      </c>
      <c r="U92" s="9" t="inlineStr">
        <is>
          <t>アクティブ</t>
        </is>
      </c>
      <c r="V92" s="9" t="n"/>
      <c r="W92" s="9" t="inlineStr">
        <is>
          <t>脇坂グループ・・・イントロデューサー分も、マネージャーフィー0.25%も脇坂さんに報告、Goo分は0.25%</t>
        </is>
      </c>
    </row>
    <row r="93">
      <c r="A93" s="7" t="n">
        <v>567803</v>
      </c>
      <c r="B93" s="7" t="inlineStr">
        <is>
          <t>Matsumoto, Kakeru</t>
        </is>
      </c>
      <c r="C93" s="8" t="n">
        <v>13</v>
      </c>
      <c r="D93" s="8" t="n">
        <v>193.53</v>
      </c>
      <c r="E93" s="8" t="n">
        <v>193.53</v>
      </c>
      <c r="F93" s="8" t="n">
        <v>0</v>
      </c>
      <c r="G93" s="8" t="n">
        <v>13</v>
      </c>
      <c r="H93" s="8" t="n">
        <v>195.88</v>
      </c>
      <c r="I93" s="8" t="n">
        <v>195.88</v>
      </c>
      <c r="J93" s="8" t="n">
        <v>0</v>
      </c>
      <c r="K93" s="8" t="n">
        <v>13</v>
      </c>
      <c r="L93" s="8" t="n">
        <v>184.26</v>
      </c>
      <c r="M93" s="8" t="n">
        <v>184.26</v>
      </c>
      <c r="N93" s="8" t="n">
        <v>0</v>
      </c>
      <c r="O93" s="8" t="n">
        <v>39</v>
      </c>
      <c r="P93" s="8" t="n">
        <v>573.65</v>
      </c>
      <c r="Q93" s="8" t="n">
        <v>573.65</v>
      </c>
      <c r="R93" s="8" t="n">
        <v>0</v>
      </c>
      <c r="S93" s="7" t="inlineStr">
        <is>
          <t>個別</t>
        </is>
      </c>
      <c r="T93" s="7" t="n">
        <v>0</v>
      </c>
      <c r="U93" s="7" t="inlineStr">
        <is>
          <t>既得確保</t>
        </is>
      </c>
      <c r="V93" s="7" t="n"/>
      <c r="W93" s="7" t="n"/>
    </row>
    <row r="94">
      <c r="A94" s="9" t="n">
        <v>562550</v>
      </c>
      <c r="B94" s="9" t="inlineStr">
        <is>
          <t>Matsumoto, Shouta</t>
        </is>
      </c>
      <c r="C94" s="10" t="n">
        <v>10</v>
      </c>
      <c r="D94" s="10" t="n">
        <v>170.44</v>
      </c>
      <c r="E94" s="10" t="n">
        <v>85.22</v>
      </c>
      <c r="F94" s="10" t="n">
        <v>85.22</v>
      </c>
      <c r="G94" s="10" t="n">
        <v>10</v>
      </c>
      <c r="H94" s="10" t="n">
        <v>186.95</v>
      </c>
      <c r="I94" s="10" t="n">
        <v>93.47</v>
      </c>
      <c r="J94" s="10" t="n">
        <v>93.47</v>
      </c>
      <c r="K94" s="10" t="n">
        <v>10</v>
      </c>
      <c r="L94" s="10" t="n">
        <v>199.73</v>
      </c>
      <c r="M94" s="10" t="n">
        <v>99.87</v>
      </c>
      <c r="N94" s="10" t="n">
        <v>99.87</v>
      </c>
      <c r="O94" s="10" t="n">
        <v>30</v>
      </c>
      <c r="P94" s="10" t="n">
        <v>557.12</v>
      </c>
      <c r="Q94" s="10" t="n">
        <v>278.56</v>
      </c>
      <c r="R94" s="10" t="n">
        <v>278.56</v>
      </c>
      <c r="S94" s="9" t="inlineStr">
        <is>
          <t>1.道下G</t>
        </is>
      </c>
      <c r="T94" s="9" t="inlineStr">
        <is>
          <t>杉本G</t>
        </is>
      </c>
      <c r="U94" s="9" t="inlineStr">
        <is>
          <t>移籍</t>
        </is>
      </c>
      <c r="V94" s="9" t="n"/>
      <c r="W94" s="9" t="inlineStr">
        <is>
          <t>道下グループ・・・イントロデューサー分も、マネージャーフィー0.25%も道下さんに報告、Goo分は0.25%</t>
        </is>
      </c>
    </row>
    <row r="95">
      <c r="A95" s="7" t="n">
        <v>562807</v>
      </c>
      <c r="B95" s="7" t="inlineStr">
        <is>
          <t>Minato, Yasuhiro</t>
        </is>
      </c>
      <c r="C95" s="8" t="n">
        <v>6</v>
      </c>
      <c r="D95" s="8" t="n">
        <v>182.15</v>
      </c>
      <c r="E95" s="8" t="n">
        <v>182.15</v>
      </c>
      <c r="F95" s="8" t="n">
        <v>0</v>
      </c>
      <c r="G95" s="8" t="n">
        <v>6</v>
      </c>
      <c r="H95" s="8" t="n">
        <v>187.15</v>
      </c>
      <c r="I95" s="8" t="n">
        <v>187.15</v>
      </c>
      <c r="J95" s="8" t="n">
        <v>0</v>
      </c>
      <c r="K95" s="8" t="n">
        <v>6</v>
      </c>
      <c r="L95" s="8" t="n">
        <v>183.24</v>
      </c>
      <c r="M95" s="8" t="n">
        <v>183.24</v>
      </c>
      <c r="N95" s="8" t="n">
        <v>0</v>
      </c>
      <c r="O95" s="8" t="n">
        <v>18</v>
      </c>
      <c r="P95" s="8" t="n">
        <v>552.53</v>
      </c>
      <c r="Q95" s="8" t="n">
        <v>552.53</v>
      </c>
      <c r="R95" s="8" t="n">
        <v>0</v>
      </c>
      <c r="S95" s="7" t="inlineStr">
        <is>
          <t>個別</t>
        </is>
      </c>
      <c r="T95" s="7" t="inlineStr">
        <is>
          <t>上野G</t>
        </is>
      </c>
      <c r="U95" s="7" t="inlineStr">
        <is>
          <t>既得確保</t>
        </is>
      </c>
      <c r="V95" s="7" t="n"/>
      <c r="W95" s="7" t="n"/>
    </row>
    <row r="96">
      <c r="A96" s="9" t="n">
        <v>573226</v>
      </c>
      <c r="B96" s="9" t="inlineStr">
        <is>
          <t>Watanabe, Kohei</t>
        </is>
      </c>
      <c r="C96" s="10" t="n">
        <v>6</v>
      </c>
      <c r="D96" s="10" t="n">
        <v>162.51</v>
      </c>
      <c r="E96" s="10" t="n">
        <v>81.26000000000001</v>
      </c>
      <c r="F96" s="10" t="n">
        <v>81.26000000000001</v>
      </c>
      <c r="G96" s="10" t="n">
        <v>6</v>
      </c>
      <c r="H96" s="10" t="n">
        <v>185.03</v>
      </c>
      <c r="I96" s="10" t="n">
        <v>92.51000000000001</v>
      </c>
      <c r="J96" s="10" t="n">
        <v>92.51000000000001</v>
      </c>
      <c r="K96" s="10" t="n">
        <v>6</v>
      </c>
      <c r="L96" s="10" t="n">
        <v>191.67</v>
      </c>
      <c r="M96" s="10" t="n">
        <v>95.84</v>
      </c>
      <c r="N96" s="10" t="n">
        <v>95.84</v>
      </c>
      <c r="O96" s="10" t="n">
        <v>18</v>
      </c>
      <c r="P96" s="10" t="n">
        <v>539.21</v>
      </c>
      <c r="Q96" s="10" t="n">
        <v>269.61</v>
      </c>
      <c r="R96" s="10" t="n">
        <v>269.61</v>
      </c>
      <c r="S96" s="9" t="inlineStr">
        <is>
          <t>1.道下G</t>
        </is>
      </c>
      <c r="T96" s="9" t="inlineStr">
        <is>
          <t>杉本G</t>
        </is>
      </c>
      <c r="U96" s="9" t="inlineStr">
        <is>
          <t>移籍</t>
        </is>
      </c>
      <c r="V96" s="9" t="n"/>
      <c r="W96" s="9" t="inlineStr">
        <is>
          <t>道下グループ・・・イントロデューサー分も、マネージャーフィー0.25%も道下さんに報告、Goo分は0.25%</t>
        </is>
      </c>
    </row>
    <row r="97">
      <c r="A97" s="7" t="n">
        <v>573607</v>
      </c>
      <c r="B97" s="7" t="inlineStr">
        <is>
          <t>Yamamoto, Masaru</t>
        </is>
      </c>
      <c r="C97" s="8" t="n">
        <v>17</v>
      </c>
      <c r="D97" s="8" t="n">
        <v>137.51</v>
      </c>
      <c r="E97" s="8" t="n">
        <v>137.51</v>
      </c>
      <c r="F97" s="8" t="n">
        <v>0</v>
      </c>
      <c r="G97" s="8" t="n">
        <v>18</v>
      </c>
      <c r="H97" s="8" t="n">
        <v>177.48</v>
      </c>
      <c r="I97" s="8" t="n">
        <v>177.48</v>
      </c>
      <c r="J97" s="8" t="n">
        <v>0</v>
      </c>
      <c r="K97" s="8" t="n">
        <v>19</v>
      </c>
      <c r="L97" s="8" t="n">
        <v>208.04</v>
      </c>
      <c r="M97" s="8" t="n">
        <v>208.04</v>
      </c>
      <c r="N97" s="8" t="n">
        <v>0</v>
      </c>
      <c r="O97" s="8" t="n">
        <v>54</v>
      </c>
      <c r="P97" s="8" t="n">
        <v>523.03</v>
      </c>
      <c r="Q97" s="8" t="n">
        <v>523.03</v>
      </c>
      <c r="R97" s="8" t="n">
        <v>0</v>
      </c>
      <c r="S97" s="7" t="inlineStr">
        <is>
          <t>個別</t>
        </is>
      </c>
      <c r="T97" s="7" t="inlineStr">
        <is>
          <t>T-edgeG</t>
        </is>
      </c>
      <c r="U97" s="7" t="inlineStr">
        <is>
          <t>アクティブ</t>
        </is>
      </c>
      <c r="V97" s="7" t="n"/>
      <c r="W97" s="7" t="n"/>
    </row>
    <row r="98">
      <c r="A98" s="9" t="n">
        <v>569227</v>
      </c>
      <c r="B98" s="9" t="inlineStr">
        <is>
          <t>Suzuki, Seiya</t>
        </is>
      </c>
      <c r="C98" s="10" t="n">
        <v>15</v>
      </c>
      <c r="D98" s="10" t="n">
        <v>174.62</v>
      </c>
      <c r="E98" s="10" t="n">
        <v>174.62</v>
      </c>
      <c r="F98" s="10" t="n">
        <v>0</v>
      </c>
      <c r="G98" s="10" t="n">
        <v>13</v>
      </c>
      <c r="H98" s="10" t="n">
        <v>173.6</v>
      </c>
      <c r="I98" s="10" t="n">
        <v>173.6</v>
      </c>
      <c r="J98" s="10" t="n">
        <v>0</v>
      </c>
      <c r="K98" s="10" t="n">
        <v>16</v>
      </c>
      <c r="L98" s="10" t="n">
        <v>170.32</v>
      </c>
      <c r="M98" s="10" t="n">
        <v>170.32</v>
      </c>
      <c r="N98" s="10" t="n">
        <v>0</v>
      </c>
      <c r="O98" s="10" t="n">
        <v>44</v>
      </c>
      <c r="P98" s="10" t="n">
        <v>518.54</v>
      </c>
      <c r="Q98" s="10" t="n">
        <v>518.54</v>
      </c>
      <c r="R98" s="10" t="n">
        <v>0</v>
      </c>
      <c r="S98" s="9" t="inlineStr">
        <is>
          <t>3.CHARM Co., Ltd.</t>
        </is>
      </c>
      <c r="T98" s="9" t="n">
        <v>0</v>
      </c>
      <c r="U98" s="9" t="inlineStr">
        <is>
          <t>既得確保</t>
        </is>
      </c>
      <c r="V98" s="9" t="n"/>
      <c r="W98" s="9" t="n"/>
    </row>
    <row r="99">
      <c r="A99" s="7" t="n">
        <v>570229</v>
      </c>
      <c r="B99" s="7" t="inlineStr">
        <is>
          <t>Sasada, Ryota</t>
        </is>
      </c>
      <c r="C99" s="8" t="n">
        <v>14</v>
      </c>
      <c r="D99" s="8" t="n">
        <v>153.55</v>
      </c>
      <c r="E99" s="8" t="n">
        <v>153.55</v>
      </c>
      <c r="F99" s="8" t="n">
        <v>0</v>
      </c>
      <c r="G99" s="8" t="n">
        <v>14</v>
      </c>
      <c r="H99" s="8" t="n">
        <v>171.56</v>
      </c>
      <c r="I99" s="8" t="n">
        <v>171.56</v>
      </c>
      <c r="J99" s="8" t="n">
        <v>0</v>
      </c>
      <c r="K99" s="8" t="n">
        <v>14</v>
      </c>
      <c r="L99" s="8" t="n">
        <v>180.09</v>
      </c>
      <c r="M99" s="8" t="n">
        <v>180.09</v>
      </c>
      <c r="N99" s="8" t="n">
        <v>0</v>
      </c>
      <c r="O99" s="8" t="n">
        <v>42</v>
      </c>
      <c r="P99" s="8" t="n">
        <v>505.21</v>
      </c>
      <c r="Q99" s="8" t="n">
        <v>505.21</v>
      </c>
      <c r="R99" s="8" t="n">
        <v>0</v>
      </c>
      <c r="S99" s="7" t="inlineStr">
        <is>
          <t>7.長谷川G</t>
        </is>
      </c>
      <c r="T99" s="7" t="n">
        <v>0</v>
      </c>
      <c r="U99" s="7" t="inlineStr">
        <is>
          <t>既得確保</t>
        </is>
      </c>
      <c r="V99" s="7" t="n"/>
      <c r="W99" s="7" t="n"/>
    </row>
    <row r="100">
      <c r="A100" s="9" t="n">
        <v>570132</v>
      </c>
      <c r="B100" s="9" t="inlineStr">
        <is>
          <t>Nakajima, Tomoko</t>
        </is>
      </c>
      <c r="C100" s="10" t="n">
        <v>9</v>
      </c>
      <c r="D100" s="10" t="n">
        <v>159.61</v>
      </c>
      <c r="E100" s="10" t="n">
        <v>159.61</v>
      </c>
      <c r="F100" s="10" t="n">
        <v>0</v>
      </c>
      <c r="G100" s="10" t="n">
        <v>9</v>
      </c>
      <c r="H100" s="10" t="n">
        <v>172.11</v>
      </c>
      <c r="I100" s="10" t="n">
        <v>172.11</v>
      </c>
      <c r="J100" s="10" t="n">
        <v>0</v>
      </c>
      <c r="K100" s="10" t="n">
        <v>9</v>
      </c>
      <c r="L100" s="10" t="n">
        <v>173.16</v>
      </c>
      <c r="M100" s="10" t="n">
        <v>173.16</v>
      </c>
      <c r="N100" s="10" t="n">
        <v>0</v>
      </c>
      <c r="O100" s="10" t="n">
        <v>27</v>
      </c>
      <c r="P100" s="10" t="n">
        <v>504.88</v>
      </c>
      <c r="Q100" s="10" t="n">
        <v>504.88</v>
      </c>
      <c r="R100" s="10" t="n">
        <v>0</v>
      </c>
      <c r="S100" s="9" t="inlineStr">
        <is>
          <t>個別</t>
        </is>
      </c>
      <c r="T100" s="9" t="n">
        <v>0</v>
      </c>
      <c r="U100" s="9" t="inlineStr">
        <is>
          <t>アクティブ</t>
        </is>
      </c>
      <c r="V100" s="9" t="n"/>
      <c r="W100" s="9" t="n"/>
    </row>
    <row r="101">
      <c r="A101" s="7" t="n">
        <v>570356</v>
      </c>
      <c r="B101" s="7" t="inlineStr">
        <is>
          <t>Sato, Jin</t>
        </is>
      </c>
      <c r="C101" s="8" t="n">
        <v>7</v>
      </c>
      <c r="D101" s="8" t="n">
        <v>176.31</v>
      </c>
      <c r="E101" s="8" t="n">
        <v>88.16</v>
      </c>
      <c r="F101" s="8" t="n">
        <v>88.16</v>
      </c>
      <c r="G101" s="8" t="n">
        <v>7</v>
      </c>
      <c r="H101" s="8" t="n">
        <v>191.16</v>
      </c>
      <c r="I101" s="8" t="n">
        <v>95.58</v>
      </c>
      <c r="J101" s="8" t="n">
        <v>95.58</v>
      </c>
      <c r="K101" s="8" t="n">
        <v>5</v>
      </c>
      <c r="L101" s="8" t="n">
        <v>135.5</v>
      </c>
      <c r="M101" s="8" t="n">
        <v>67.75</v>
      </c>
      <c r="N101" s="8" t="n">
        <v>67.75</v>
      </c>
      <c r="O101" s="8" t="n">
        <v>19</v>
      </c>
      <c r="P101" s="8" t="n">
        <v>502.98</v>
      </c>
      <c r="Q101" s="8" t="n">
        <v>251.49</v>
      </c>
      <c r="R101" s="8" t="n">
        <v>251.49</v>
      </c>
      <c r="S101" s="7" t="inlineStr">
        <is>
          <t>12.脇坂G</t>
        </is>
      </c>
      <c r="T101" s="7" t="inlineStr">
        <is>
          <t>4 Capital 傘下</t>
        </is>
      </c>
      <c r="U101" s="7" t="inlineStr">
        <is>
          <t>アクティブ</t>
        </is>
      </c>
      <c r="V101" s="7" t="n"/>
      <c r="W101" s="7" t="inlineStr">
        <is>
          <t>脇坂グループ・・・イントロデューサー分も、マネージャーフィー0.25%も脇坂さんに報告、Goo分は0.25%</t>
        </is>
      </c>
    </row>
    <row r="102">
      <c r="A102" s="9" t="n">
        <v>564794</v>
      </c>
      <c r="B102" s="9" t="inlineStr">
        <is>
          <t>DICS Ltd</t>
        </is>
      </c>
      <c r="C102" s="10" t="n">
        <v>10</v>
      </c>
      <c r="D102" s="10" t="n">
        <v>156.86</v>
      </c>
      <c r="E102" s="10" t="n">
        <v>156.86</v>
      </c>
      <c r="F102" s="10" t="n">
        <v>0</v>
      </c>
      <c r="G102" s="10" t="n">
        <v>10</v>
      </c>
      <c r="H102" s="10" t="n">
        <v>172.33</v>
      </c>
      <c r="I102" s="10" t="n">
        <v>172.33</v>
      </c>
      <c r="J102" s="10" t="n">
        <v>0</v>
      </c>
      <c r="K102" s="10" t="n">
        <v>9</v>
      </c>
      <c r="L102" s="10" t="n">
        <v>168.21</v>
      </c>
      <c r="M102" s="10" t="n">
        <v>168.21</v>
      </c>
      <c r="N102" s="10" t="n">
        <v>0</v>
      </c>
      <c r="O102" s="10" t="n">
        <v>29</v>
      </c>
      <c r="P102" s="10" t="n">
        <v>497.4</v>
      </c>
      <c r="Q102" s="10" t="n">
        <v>497.4</v>
      </c>
      <c r="R102" s="10" t="n">
        <v>0</v>
      </c>
      <c r="S102" s="9" t="inlineStr">
        <is>
          <t>個別</t>
        </is>
      </c>
      <c r="T102" s="9" t="n">
        <v>0</v>
      </c>
      <c r="U102" s="9" t="inlineStr">
        <is>
          <t>既得確保</t>
        </is>
      </c>
      <c r="V102" s="9" t="n"/>
      <c r="W102" s="9" t="n"/>
    </row>
    <row r="103">
      <c r="A103" s="7" t="n">
        <v>564069</v>
      </c>
      <c r="B103" s="7" t="inlineStr">
        <is>
          <t>Sato, Kentaro</t>
        </is>
      </c>
      <c r="C103" s="8" t="n">
        <v>9</v>
      </c>
      <c r="D103" s="8" t="n">
        <v>152.54</v>
      </c>
      <c r="E103" s="8" t="n">
        <v>152.54</v>
      </c>
      <c r="F103" s="8" t="n">
        <v>0</v>
      </c>
      <c r="G103" s="8" t="n">
        <v>9</v>
      </c>
      <c r="H103" s="8" t="n">
        <v>167.57</v>
      </c>
      <c r="I103" s="8" t="n">
        <v>167.57</v>
      </c>
      <c r="J103" s="8" t="n">
        <v>0</v>
      </c>
      <c r="K103" s="8" t="n">
        <v>9</v>
      </c>
      <c r="L103" s="8" t="n">
        <v>172.82</v>
      </c>
      <c r="M103" s="8" t="n">
        <v>172.82</v>
      </c>
      <c r="N103" s="8" t="n">
        <v>0</v>
      </c>
      <c r="O103" s="8" t="n">
        <v>27</v>
      </c>
      <c r="P103" s="8" t="n">
        <v>492.93</v>
      </c>
      <c r="Q103" s="8" t="n">
        <v>492.93</v>
      </c>
      <c r="R103" s="8" t="n">
        <v>0</v>
      </c>
      <c r="S103" s="7" t="inlineStr">
        <is>
          <t>個別</t>
        </is>
      </c>
      <c r="T103" s="7" t="n">
        <v>0</v>
      </c>
      <c r="U103" s="7" t="inlineStr">
        <is>
          <t>既得確保</t>
        </is>
      </c>
      <c r="V103" s="7" t="n"/>
      <c r="W103" s="7" t="n"/>
    </row>
    <row r="104">
      <c r="A104" s="9" t="n">
        <v>573751</v>
      </c>
      <c r="B104" s="9" t="inlineStr">
        <is>
          <t>Fujiwara, Ryohei</t>
        </is>
      </c>
      <c r="C104" s="10" t="n">
        <v>5</v>
      </c>
      <c r="D104" s="10" t="n">
        <v>162.21</v>
      </c>
      <c r="E104" s="10" t="n">
        <v>81.11</v>
      </c>
      <c r="F104" s="10" t="n">
        <v>81.11</v>
      </c>
      <c r="G104" s="10" t="n">
        <v>5</v>
      </c>
      <c r="H104" s="10" t="n">
        <v>164.81</v>
      </c>
      <c r="I104" s="10" t="n">
        <v>82.41</v>
      </c>
      <c r="J104" s="10" t="n">
        <v>82.41</v>
      </c>
      <c r="K104" s="10" t="n">
        <v>5</v>
      </c>
      <c r="L104" s="10" t="n">
        <v>161.37</v>
      </c>
      <c r="M104" s="10" t="n">
        <v>80.68000000000001</v>
      </c>
      <c r="N104" s="10" t="n">
        <v>80.68000000000001</v>
      </c>
      <c r="O104" s="10" t="n">
        <v>15</v>
      </c>
      <c r="P104" s="10" t="n">
        <v>488.38</v>
      </c>
      <c r="Q104" s="10" t="n">
        <v>244.19</v>
      </c>
      <c r="R104" s="10" t="n">
        <v>244.19</v>
      </c>
      <c r="S104" s="9" t="inlineStr">
        <is>
          <t>1.道下G</t>
        </is>
      </c>
      <c r="T104" s="9" t="inlineStr">
        <is>
          <t>小宮山G</t>
        </is>
      </c>
      <c r="U104" s="9" t="inlineStr">
        <is>
          <t>移籍</t>
        </is>
      </c>
      <c r="V104" s="9" t="n"/>
      <c r="W104" s="9" t="inlineStr">
        <is>
          <t>道下グループ・・・イントロデューサー分も、マネージャーフィー0.25%も道下さんに報告、Goo分は0.25%</t>
        </is>
      </c>
    </row>
    <row r="105">
      <c r="A105" s="7" t="n">
        <v>571621</v>
      </c>
      <c r="B105" s="7" t="inlineStr">
        <is>
          <t>Handa, Satoru</t>
        </is>
      </c>
      <c r="C105" s="8" t="n">
        <v>13</v>
      </c>
      <c r="D105" s="8" t="n">
        <v>137.43</v>
      </c>
      <c r="E105" s="8" t="n">
        <v>68.72</v>
      </c>
      <c r="F105" s="8" t="n">
        <v>68.72</v>
      </c>
      <c r="G105" s="8" t="n">
        <v>13</v>
      </c>
      <c r="H105" s="8" t="n">
        <v>160.07</v>
      </c>
      <c r="I105" s="8" t="n">
        <v>80.04000000000001</v>
      </c>
      <c r="J105" s="8" t="n">
        <v>80.04000000000001</v>
      </c>
      <c r="K105" s="8" t="n">
        <v>13</v>
      </c>
      <c r="L105" s="8" t="n">
        <v>177.13</v>
      </c>
      <c r="M105" s="8" t="n">
        <v>88.56</v>
      </c>
      <c r="N105" s="8" t="n">
        <v>88.56</v>
      </c>
      <c r="O105" s="8" t="n">
        <v>39</v>
      </c>
      <c r="P105" s="8" t="n">
        <v>474.63</v>
      </c>
      <c r="Q105" s="8" t="n">
        <v>237.31</v>
      </c>
      <c r="R105" s="8" t="n">
        <v>237.31</v>
      </c>
      <c r="S105" s="7" t="inlineStr">
        <is>
          <t>12.脇坂G</t>
        </is>
      </c>
      <c r="T105" s="7" t="inlineStr">
        <is>
          <t>Ishii G</t>
        </is>
      </c>
      <c r="U105" s="7" t="inlineStr">
        <is>
          <t>アクティブ</t>
        </is>
      </c>
      <c r="V105" s="7" t="n"/>
      <c r="W105" s="7" t="inlineStr">
        <is>
          <t>脇坂グループ・・・イントロデューサー分も、マネージャーフィー0.25%も脇坂さんに報告、Goo分は0.25%</t>
        </is>
      </c>
    </row>
    <row r="106">
      <c r="A106" s="9" t="n">
        <v>571971</v>
      </c>
      <c r="B106" s="9" t="inlineStr">
        <is>
          <t>Fukui, Yusuke</t>
        </is>
      </c>
      <c r="C106" s="10" t="n">
        <v>11</v>
      </c>
      <c r="D106" s="10" t="n">
        <v>135.48</v>
      </c>
      <c r="E106" s="10" t="n">
        <v>135.48</v>
      </c>
      <c r="F106" s="10" t="n">
        <v>0</v>
      </c>
      <c r="G106" s="10" t="n">
        <v>12</v>
      </c>
      <c r="H106" s="10" t="n">
        <v>160.22</v>
      </c>
      <c r="I106" s="10" t="n">
        <v>160.22</v>
      </c>
      <c r="J106" s="10" t="n">
        <v>0</v>
      </c>
      <c r="K106" s="10" t="n">
        <v>12</v>
      </c>
      <c r="L106" s="10" t="n">
        <v>173.81</v>
      </c>
      <c r="M106" s="10" t="n">
        <v>173.81</v>
      </c>
      <c r="N106" s="10" t="n">
        <v>0</v>
      </c>
      <c r="O106" s="10" t="n">
        <v>35</v>
      </c>
      <c r="P106" s="10" t="n">
        <v>469.5</v>
      </c>
      <c r="Q106" s="10" t="n">
        <v>469.5</v>
      </c>
      <c r="R106" s="10" t="n">
        <v>0</v>
      </c>
      <c r="S106" s="9" t="inlineStr">
        <is>
          <t>個別</t>
        </is>
      </c>
      <c r="T106" s="9" t="n">
        <v>0</v>
      </c>
      <c r="U106" s="9" t="inlineStr">
        <is>
          <t>アクティブ</t>
        </is>
      </c>
      <c r="V106" s="9" t="n"/>
      <c r="W106" s="9" t="n"/>
    </row>
    <row r="107">
      <c r="A107" s="7" t="n">
        <v>573035</v>
      </c>
      <c r="B107" s="7" t="inlineStr">
        <is>
          <t>Korezawa, Sakiko</t>
        </is>
      </c>
      <c r="C107" s="8" t="n">
        <v>12</v>
      </c>
      <c r="D107" s="8" t="n">
        <v>133.04</v>
      </c>
      <c r="E107" s="8" t="n">
        <v>133.04</v>
      </c>
      <c r="F107" s="8" t="n">
        <v>0</v>
      </c>
      <c r="G107" s="8" t="n">
        <v>12</v>
      </c>
      <c r="H107" s="8" t="n">
        <v>158.98</v>
      </c>
      <c r="I107" s="8" t="n">
        <v>158.98</v>
      </c>
      <c r="J107" s="8" t="n">
        <v>0</v>
      </c>
      <c r="K107" s="8" t="n">
        <v>13</v>
      </c>
      <c r="L107" s="8" t="n">
        <v>176.31</v>
      </c>
      <c r="M107" s="8" t="n">
        <v>176.31</v>
      </c>
      <c r="N107" s="8" t="n">
        <v>0</v>
      </c>
      <c r="O107" s="8" t="n">
        <v>37</v>
      </c>
      <c r="P107" s="8" t="n">
        <v>468.33</v>
      </c>
      <c r="Q107" s="8" t="n">
        <v>468.33</v>
      </c>
      <c r="R107" s="8" t="n">
        <v>0</v>
      </c>
      <c r="S107" s="7" t="inlineStr">
        <is>
          <t>個別</t>
        </is>
      </c>
      <c r="T107" s="7" t="inlineStr">
        <is>
          <t>これさわさん</t>
        </is>
      </c>
      <c r="U107" s="7" t="inlineStr">
        <is>
          <t>既得確保</t>
        </is>
      </c>
      <c r="V107" s="7" t="n"/>
      <c r="W107" s="7" t="n"/>
    </row>
    <row r="108">
      <c r="A108" s="9" t="n">
        <v>568799</v>
      </c>
      <c r="B108" s="9" t="inlineStr">
        <is>
          <t>Mori, Satoshi</t>
        </is>
      </c>
      <c r="C108" s="10" t="n">
        <v>1</v>
      </c>
      <c r="D108" s="10" t="n">
        <v>142.76</v>
      </c>
      <c r="E108" s="10" t="n">
        <v>142.76</v>
      </c>
      <c r="F108" s="10" t="n">
        <v>0</v>
      </c>
      <c r="G108" s="10" t="n">
        <v>1</v>
      </c>
      <c r="H108" s="10" t="n">
        <v>155.81</v>
      </c>
      <c r="I108" s="10" t="n">
        <v>155.81</v>
      </c>
      <c r="J108" s="10" t="n">
        <v>0</v>
      </c>
      <c r="K108" s="10" t="n">
        <v>1</v>
      </c>
      <c r="L108" s="10" t="n">
        <v>168.75</v>
      </c>
      <c r="M108" s="10" t="n">
        <v>168.75</v>
      </c>
      <c r="N108" s="10" t="n">
        <v>0</v>
      </c>
      <c r="O108" s="10" t="n">
        <v>3</v>
      </c>
      <c r="P108" s="10" t="n">
        <v>467.32</v>
      </c>
      <c r="Q108" s="10" t="n">
        <v>467.32</v>
      </c>
      <c r="R108" s="10" t="n">
        <v>0</v>
      </c>
      <c r="S108" s="9" t="inlineStr">
        <is>
          <t>2.旧川村G (Gift)</t>
        </is>
      </c>
      <c r="T108" s="9" t="n">
        <v>0</v>
      </c>
      <c r="U108" s="9" t="inlineStr">
        <is>
          <t>アクティブ</t>
        </is>
      </c>
      <c r="V108" s="9" t="n"/>
      <c r="W108" s="9" t="n"/>
    </row>
    <row r="109">
      <c r="A109" s="7" t="n">
        <v>572126</v>
      </c>
      <c r="B109" s="7" t="inlineStr">
        <is>
          <t>Kawashita, Naoto</t>
        </is>
      </c>
      <c r="C109" s="8" t="n">
        <v>19</v>
      </c>
      <c r="D109" s="8" t="n">
        <v>263.22</v>
      </c>
      <c r="E109" s="8" t="n">
        <v>131.61</v>
      </c>
      <c r="F109" s="8" t="n">
        <v>131.61</v>
      </c>
      <c r="G109" s="8" t="n">
        <v>19</v>
      </c>
      <c r="H109" s="8" t="n">
        <v>290.09</v>
      </c>
      <c r="I109" s="8" t="n">
        <v>145.04</v>
      </c>
      <c r="J109" s="8" t="n">
        <v>145.04</v>
      </c>
      <c r="K109" s="8" t="n">
        <v>20</v>
      </c>
      <c r="L109" s="8" t="n">
        <v>311.78</v>
      </c>
      <c r="M109" s="8" t="n">
        <v>155.89</v>
      </c>
      <c r="N109" s="8" t="n">
        <v>155.89</v>
      </c>
      <c r="O109" s="8" t="n">
        <v>58</v>
      </c>
      <c r="P109" s="8" t="n">
        <v>865.09</v>
      </c>
      <c r="Q109" s="8" t="n">
        <v>432.54</v>
      </c>
      <c r="R109" s="8" t="n">
        <v>432.54</v>
      </c>
      <c r="S109" s="7" t="inlineStr">
        <is>
          <t>12.脇坂G</t>
        </is>
      </c>
      <c r="T109" s="7" t="inlineStr">
        <is>
          <t>4 Capital 傘下</t>
        </is>
      </c>
      <c r="U109" s="7" t="inlineStr">
        <is>
          <t>アクティブ</t>
        </is>
      </c>
      <c r="V109" s="7" t="n"/>
      <c r="W109" s="7" t="inlineStr">
        <is>
          <t>脇坂グループ・・・イントロデューサー分も、マネージャーフィー0.25%も脇坂さんに報告、Goo分は0.25%</t>
        </is>
      </c>
    </row>
    <row r="110">
      <c r="A110" s="9" t="n">
        <v>512983</v>
      </c>
      <c r="B110" s="9" t="inlineStr">
        <is>
          <t>Yasunobu, Mio</t>
        </is>
      </c>
      <c r="C110" s="10" t="n">
        <v>5</v>
      </c>
      <c r="D110" s="10" t="n">
        <v>155.12</v>
      </c>
      <c r="E110" s="10" t="n">
        <v>155.12</v>
      </c>
      <c r="F110" s="10" t="n">
        <v>0</v>
      </c>
      <c r="G110" s="10" t="n">
        <v>5</v>
      </c>
      <c r="H110" s="10" t="n">
        <v>159.59</v>
      </c>
      <c r="I110" s="10" t="n">
        <v>159.59</v>
      </c>
      <c r="J110" s="10" t="n">
        <v>0</v>
      </c>
      <c r="K110" s="10" t="n">
        <v>5</v>
      </c>
      <c r="L110" s="10" t="n">
        <v>148.06</v>
      </c>
      <c r="M110" s="10" t="n">
        <v>148.06</v>
      </c>
      <c r="N110" s="10" t="n">
        <v>0</v>
      </c>
      <c r="O110" s="10" t="n">
        <v>15</v>
      </c>
      <c r="P110" s="10" t="n">
        <v>462.78</v>
      </c>
      <c r="Q110" s="10" t="n">
        <v>462.78</v>
      </c>
      <c r="R110" s="10" t="n">
        <v>0</v>
      </c>
      <c r="S110" s="9" t="inlineStr">
        <is>
          <t>個別</t>
        </is>
      </c>
      <c r="T110" s="9" t="n">
        <v>0</v>
      </c>
      <c r="U110" s="9" t="inlineStr">
        <is>
          <t>アクティブ</t>
        </is>
      </c>
      <c r="V110" s="9" t="n"/>
      <c r="W110" s="9" t="n"/>
    </row>
    <row r="111">
      <c r="A111" s="7" t="n">
        <v>573229</v>
      </c>
      <c r="B111" s="7" t="inlineStr">
        <is>
          <t>Tsunekawa, Yu</t>
        </is>
      </c>
      <c r="C111" s="8" t="n">
        <v>18</v>
      </c>
      <c r="D111" s="8" t="n">
        <v>151.83</v>
      </c>
      <c r="E111" s="8" t="n">
        <v>75.92</v>
      </c>
      <c r="F111" s="8" t="n">
        <v>75.92</v>
      </c>
      <c r="G111" s="8" t="n">
        <v>15</v>
      </c>
      <c r="H111" s="8" t="n">
        <v>151.41</v>
      </c>
      <c r="I111" s="8" t="n">
        <v>75.7</v>
      </c>
      <c r="J111" s="8" t="n">
        <v>75.7</v>
      </c>
      <c r="K111" s="8" t="n">
        <v>12</v>
      </c>
      <c r="L111" s="8" t="n">
        <v>152.06</v>
      </c>
      <c r="M111" s="8" t="n">
        <v>76.03</v>
      </c>
      <c r="N111" s="8" t="n">
        <v>76.03</v>
      </c>
      <c r="O111" s="8" t="n">
        <v>45</v>
      </c>
      <c r="P111" s="8" t="n">
        <v>455.3</v>
      </c>
      <c r="Q111" s="8" t="n">
        <v>227.65</v>
      </c>
      <c r="R111" s="8" t="n">
        <v>227.65</v>
      </c>
      <c r="S111" s="7" t="inlineStr">
        <is>
          <t>12.脇坂G</t>
        </is>
      </c>
      <c r="T111" s="7" t="inlineStr">
        <is>
          <t>Onely G</t>
        </is>
      </c>
      <c r="U111" s="7" t="inlineStr">
        <is>
          <t>アクティブ</t>
        </is>
      </c>
      <c r="V111" s="7" t="n"/>
      <c r="W111" s="7" t="inlineStr">
        <is>
          <t>脇坂グループ・・・イントロデューサー分も、マネージャーフィー0.25%も脇坂さんに報告、Goo分は0.25%</t>
        </is>
      </c>
    </row>
    <row r="112">
      <c r="A112" s="9" t="n">
        <v>564204</v>
      </c>
      <c r="B112" s="9" t="inlineStr">
        <is>
          <t>Katayama, Hiroyuki</t>
        </is>
      </c>
      <c r="C112" s="10" t="n">
        <v>6</v>
      </c>
      <c r="D112" s="10" t="n">
        <v>138.25</v>
      </c>
      <c r="E112" s="10" t="n">
        <v>69.12</v>
      </c>
      <c r="F112" s="10" t="n">
        <v>69.12</v>
      </c>
      <c r="G112" s="10" t="n">
        <v>6</v>
      </c>
      <c r="H112" s="10" t="n">
        <v>150.08</v>
      </c>
      <c r="I112" s="10" t="n">
        <v>75.04000000000001</v>
      </c>
      <c r="J112" s="10" t="n">
        <v>75.04000000000001</v>
      </c>
      <c r="K112" s="10" t="n">
        <v>6</v>
      </c>
      <c r="L112" s="10" t="n">
        <v>158.16</v>
      </c>
      <c r="M112" s="10" t="n">
        <v>79.08</v>
      </c>
      <c r="N112" s="10" t="n">
        <v>79.08</v>
      </c>
      <c r="O112" s="10" t="n">
        <v>18</v>
      </c>
      <c r="P112" s="10" t="n">
        <v>446.49</v>
      </c>
      <c r="Q112" s="10" t="n">
        <v>223.24</v>
      </c>
      <c r="R112" s="10" t="n">
        <v>223.24</v>
      </c>
      <c r="S112" s="9" t="inlineStr">
        <is>
          <t>1.道下G</t>
        </is>
      </c>
      <c r="T112" s="9" t="inlineStr">
        <is>
          <t>道下傘下</t>
        </is>
      </c>
      <c r="U112" s="9" t="inlineStr">
        <is>
          <t>移籍</t>
        </is>
      </c>
      <c r="V112" s="9" t="n"/>
      <c r="W112" s="9" t="inlineStr">
        <is>
          <t>道下グループ・・・イントロデューサー分も、マネージャーフィー0.25%も道下さんに報告、Goo分は0.25%</t>
        </is>
      </c>
    </row>
    <row r="113">
      <c r="A113" s="7" t="n">
        <v>567386</v>
      </c>
      <c r="B113" s="7" t="inlineStr">
        <is>
          <t>Nishioka, Toru</t>
        </is>
      </c>
      <c r="C113" s="8" t="n">
        <v>13</v>
      </c>
      <c r="D113" s="8" t="n">
        <v>126.09</v>
      </c>
      <c r="E113" s="8" t="n">
        <v>126.09</v>
      </c>
      <c r="F113" s="8" t="n">
        <v>0</v>
      </c>
      <c r="G113" s="8" t="n">
        <v>13</v>
      </c>
      <c r="H113" s="8" t="n">
        <v>150.45</v>
      </c>
      <c r="I113" s="8" t="n">
        <v>150.45</v>
      </c>
      <c r="J113" s="8" t="n">
        <v>0</v>
      </c>
      <c r="K113" s="8" t="n">
        <v>13</v>
      </c>
      <c r="L113" s="8" t="n">
        <v>163.12</v>
      </c>
      <c r="M113" s="8" t="n">
        <v>163.12</v>
      </c>
      <c r="N113" s="8" t="n">
        <v>0</v>
      </c>
      <c r="O113" s="8" t="n">
        <v>39</v>
      </c>
      <c r="P113" s="8" t="n">
        <v>439.66</v>
      </c>
      <c r="Q113" s="8" t="n">
        <v>439.66</v>
      </c>
      <c r="R113" s="8" t="n">
        <v>0</v>
      </c>
      <c r="S113" s="7" t="inlineStr">
        <is>
          <t>報告する＞他社</t>
        </is>
      </c>
      <c r="T113" s="7" t="n"/>
      <c r="U113" s="7" t="n"/>
      <c r="V113" s="7" t="n"/>
      <c r="W113" s="7" t="n"/>
    </row>
    <row r="114">
      <c r="A114" s="9" t="n">
        <v>575338</v>
      </c>
      <c r="B114" s="9" t="inlineStr">
        <is>
          <t>Yumetowa Ltd</t>
        </is>
      </c>
      <c r="C114" s="10" t="n">
        <v>7</v>
      </c>
      <c r="D114" s="10" t="n">
        <v>115.8</v>
      </c>
      <c r="E114" s="10" t="n">
        <v>115.8</v>
      </c>
      <c r="F114" s="10" t="n">
        <v>0</v>
      </c>
      <c r="G114" s="10" t="n">
        <v>7</v>
      </c>
      <c r="H114" s="10" t="n">
        <v>142.01</v>
      </c>
      <c r="I114" s="10" t="n">
        <v>142.01</v>
      </c>
      <c r="J114" s="10" t="n">
        <v>0</v>
      </c>
      <c r="K114" s="10" t="n">
        <v>8</v>
      </c>
      <c r="L114" s="10" t="n">
        <v>157.39</v>
      </c>
      <c r="M114" s="10" t="n">
        <v>157.39</v>
      </c>
      <c r="N114" s="10" t="n">
        <v>0</v>
      </c>
      <c r="O114" s="10" t="n">
        <v>22</v>
      </c>
      <c r="P114" s="10" t="n">
        <v>415.2</v>
      </c>
      <c r="Q114" s="10" t="n">
        <v>415.2</v>
      </c>
      <c r="R114" s="10" t="n">
        <v>0</v>
      </c>
      <c r="S114" s="9" t="inlineStr">
        <is>
          <t>18.西元G</t>
        </is>
      </c>
      <c r="T114" s="9" t="n">
        <v>0</v>
      </c>
      <c r="U114" s="9" t="inlineStr">
        <is>
          <t>アクティブ</t>
        </is>
      </c>
      <c r="V114" s="9" t="n"/>
      <c r="W114" s="9" t="n"/>
    </row>
    <row r="115">
      <c r="A115" s="7" t="n">
        <v>572127</v>
      </c>
      <c r="B115" s="7" t="inlineStr">
        <is>
          <t>Yamashita, Kohei</t>
        </is>
      </c>
      <c r="C115" s="8" t="n">
        <v>18</v>
      </c>
      <c r="D115" s="8" t="n">
        <v>244.35</v>
      </c>
      <c r="E115" s="8" t="n">
        <v>0</v>
      </c>
      <c r="F115" s="8" t="n">
        <v>0</v>
      </c>
      <c r="G115" s="8" t="n">
        <v>18</v>
      </c>
      <c r="H115" s="8" t="n">
        <v>268.52</v>
      </c>
      <c r="I115" s="8" t="n">
        <v>0</v>
      </c>
      <c r="J115" s="8" t="n">
        <v>0</v>
      </c>
      <c r="K115" s="8" t="n">
        <v>18</v>
      </c>
      <c r="L115" s="8" t="n">
        <v>289.59</v>
      </c>
      <c r="M115" s="8" t="n">
        <v>0</v>
      </c>
      <c r="N115" s="8" t="n">
        <v>0</v>
      </c>
      <c r="O115" s="8" t="n">
        <v>54</v>
      </c>
      <c r="P115" s="8" t="n">
        <v>802.46</v>
      </c>
      <c r="Q115" s="8" t="n">
        <v>0</v>
      </c>
      <c r="R115" s="8" t="n">
        <v>0</v>
      </c>
      <c r="S115" s="7" t="inlineStr">
        <is>
          <t>12.脇坂G</t>
        </is>
      </c>
      <c r="T115" s="7" t="inlineStr">
        <is>
          <t>4 Capital 傘下</t>
        </is>
      </c>
      <c r="U115" s="7" t="inlineStr">
        <is>
          <t>アクティブ</t>
        </is>
      </c>
      <c r="V115" s="7" t="n"/>
      <c r="W115" s="7" t="inlineStr">
        <is>
          <t>脇坂グループ・・・イントロデューサー分も、マネージャーフィー0.25%も脇坂さんに報告、Goo分は0.25%</t>
        </is>
      </c>
    </row>
    <row r="116">
      <c r="A116" s="9" t="n">
        <v>571620</v>
      </c>
      <c r="B116" s="9" t="inlineStr">
        <is>
          <t>Naito, Ichiro</t>
        </is>
      </c>
      <c r="C116" s="10" t="n">
        <v>3</v>
      </c>
      <c r="D116" s="10" t="n">
        <v>117.47</v>
      </c>
      <c r="E116" s="10" t="n">
        <v>58.73</v>
      </c>
      <c r="F116" s="10" t="n">
        <v>58.73</v>
      </c>
      <c r="G116" s="10" t="n">
        <v>3</v>
      </c>
      <c r="H116" s="10" t="n">
        <v>129.29</v>
      </c>
      <c r="I116" s="10" t="n">
        <v>64.64</v>
      </c>
      <c r="J116" s="10" t="n">
        <v>64.64</v>
      </c>
      <c r="K116" s="10" t="n">
        <v>3</v>
      </c>
      <c r="L116" s="10" t="n">
        <v>131.74</v>
      </c>
      <c r="M116" s="10" t="n">
        <v>65.87</v>
      </c>
      <c r="N116" s="10" t="n">
        <v>65.87</v>
      </c>
      <c r="O116" s="10" t="n">
        <v>9</v>
      </c>
      <c r="P116" s="10" t="n">
        <v>378.5</v>
      </c>
      <c r="Q116" s="10" t="n">
        <v>189.25</v>
      </c>
      <c r="R116" s="10" t="n">
        <v>189.25</v>
      </c>
      <c r="S116" s="9" t="inlineStr">
        <is>
          <t>12.脇坂G</t>
        </is>
      </c>
      <c r="T116" s="9" t="inlineStr">
        <is>
          <t>4 Capital 傘下</t>
        </is>
      </c>
      <c r="U116" s="9" t="inlineStr">
        <is>
          <t>アクティブ</t>
        </is>
      </c>
      <c r="V116" s="9" t="n"/>
      <c r="W116" s="9" t="inlineStr">
        <is>
          <t>脇坂グループ・・・イントロデューサー分も、マネージャーフィー0.25%も脇坂さんに報告、Goo分は0.25%</t>
        </is>
      </c>
    </row>
    <row r="117">
      <c r="A117" s="7" t="n">
        <v>568453</v>
      </c>
      <c r="B117" s="7" t="inlineStr">
        <is>
          <t>Kudo, Yasuyo</t>
        </is>
      </c>
      <c r="C117" s="8" t="n">
        <v>8</v>
      </c>
      <c r="D117" s="8" t="n">
        <v>117.34</v>
      </c>
      <c r="E117" s="8" t="n">
        <v>117.34</v>
      </c>
      <c r="F117" s="8" t="n">
        <v>0</v>
      </c>
      <c r="G117" s="8" t="n">
        <v>8</v>
      </c>
      <c r="H117" s="8" t="n">
        <v>129.42</v>
      </c>
      <c r="I117" s="8" t="n">
        <v>129.42</v>
      </c>
      <c r="J117" s="8" t="n">
        <v>0</v>
      </c>
      <c r="K117" s="8" t="n">
        <v>8</v>
      </c>
      <c r="L117" s="8" t="n">
        <v>130.11</v>
      </c>
      <c r="M117" s="8" t="n">
        <v>130.11</v>
      </c>
      <c r="N117" s="8" t="n">
        <v>0</v>
      </c>
      <c r="O117" s="8" t="n">
        <v>24</v>
      </c>
      <c r="P117" s="8" t="n">
        <v>376.88</v>
      </c>
      <c r="Q117" s="8" t="n">
        <v>376.88</v>
      </c>
      <c r="R117" s="8" t="n">
        <v>0</v>
      </c>
      <c r="S117" s="7" t="inlineStr">
        <is>
          <t>個別</t>
        </is>
      </c>
      <c r="T117" s="7" t="n">
        <v>0</v>
      </c>
      <c r="U117" s="7" t="inlineStr">
        <is>
          <t>既得確保</t>
        </is>
      </c>
      <c r="V117" s="7" t="n"/>
      <c r="W117" s="7" t="n"/>
    </row>
    <row r="118">
      <c r="A118" s="9" t="n">
        <v>568575</v>
      </c>
      <c r="B118" s="9" t="inlineStr">
        <is>
          <t>Matsuda, Shoron</t>
        </is>
      </c>
      <c r="C118" s="10" t="n">
        <v>10</v>
      </c>
      <c r="D118" s="10" t="n">
        <v>120.68</v>
      </c>
      <c r="E118" s="10" t="n">
        <v>94.58</v>
      </c>
      <c r="F118" s="10" t="n">
        <v>0</v>
      </c>
      <c r="G118" s="10" t="n">
        <v>10</v>
      </c>
      <c r="H118" s="10" t="n">
        <v>126.58</v>
      </c>
      <c r="I118" s="10" t="n">
        <v>99.69</v>
      </c>
      <c r="J118" s="10" t="n">
        <v>0</v>
      </c>
      <c r="K118" s="10" t="n">
        <v>10</v>
      </c>
      <c r="L118" s="10" t="n">
        <v>123.89</v>
      </c>
      <c r="M118" s="10" t="n">
        <v>97.01000000000001</v>
      </c>
      <c r="N118" s="10" t="n">
        <v>0</v>
      </c>
      <c r="O118" s="10" t="n">
        <v>30</v>
      </c>
      <c r="P118" s="10" t="n">
        <v>371.14</v>
      </c>
      <c r="Q118" s="10" t="n">
        <v>291.27</v>
      </c>
      <c r="R118" s="10" t="n">
        <v>0</v>
      </c>
      <c r="S118" s="9" t="inlineStr">
        <is>
          <t>1.BANK</t>
        </is>
      </c>
      <c r="T118" s="9" t="inlineStr">
        <is>
          <t>松田さん</t>
        </is>
      </c>
      <c r="U118" s="9" t="inlineStr">
        <is>
          <t>アクティブ</t>
        </is>
      </c>
      <c r="V118" s="9" t="n"/>
      <c r="W118" s="9" t="inlineStr">
        <is>
          <t>Bank・・・ACS・PLATS・PLATPLはイントロデューサー分全額 1%</t>
        </is>
      </c>
    </row>
    <row r="119">
      <c r="A119" s="7" t="n">
        <v>572471</v>
      </c>
      <c r="B119" s="7" t="inlineStr">
        <is>
          <t>Akasaka, Mitsuaki</t>
        </is>
      </c>
      <c r="C119" s="8" t="n">
        <v>11</v>
      </c>
      <c r="D119" s="8" t="n">
        <v>114.56</v>
      </c>
      <c r="E119" s="8" t="n">
        <v>57.28</v>
      </c>
      <c r="F119" s="8" t="n">
        <v>57.28</v>
      </c>
      <c r="G119" s="8" t="n">
        <v>11</v>
      </c>
      <c r="H119" s="8" t="n">
        <v>124.08</v>
      </c>
      <c r="I119" s="8" t="n">
        <v>62.04</v>
      </c>
      <c r="J119" s="8" t="n">
        <v>62.04</v>
      </c>
      <c r="K119" s="8" t="n">
        <v>11</v>
      </c>
      <c r="L119" s="8" t="n">
        <v>129.41</v>
      </c>
      <c r="M119" s="8" t="n">
        <v>64.7</v>
      </c>
      <c r="N119" s="8" t="n">
        <v>64.7</v>
      </c>
      <c r="O119" s="8" t="n">
        <v>33</v>
      </c>
      <c r="P119" s="8" t="n">
        <v>368.04</v>
      </c>
      <c r="Q119" s="8" t="n">
        <v>184.02</v>
      </c>
      <c r="R119" s="8" t="n">
        <v>184.02</v>
      </c>
      <c r="S119" s="7" t="inlineStr">
        <is>
          <t>12.脇坂G</t>
        </is>
      </c>
      <c r="T119" s="7" t="inlineStr">
        <is>
          <t>4 Capital 傘下</t>
        </is>
      </c>
      <c r="U119" s="7" t="inlineStr">
        <is>
          <t>アクティブ</t>
        </is>
      </c>
      <c r="V119" s="7" t="n"/>
      <c r="W119" s="7" t="inlineStr">
        <is>
          <t>脇坂グループ・・・イントロデューサー分も、マネージャーフィー0.25%も脇坂さんに報告、Goo分は0.25%</t>
        </is>
      </c>
    </row>
    <row r="120">
      <c r="A120" s="9" t="n">
        <v>564178</v>
      </c>
      <c r="B120" s="9" t="inlineStr">
        <is>
          <t>MJP Co., Ltd.</t>
        </is>
      </c>
      <c r="C120" s="10" t="n">
        <v>15</v>
      </c>
      <c r="D120" s="10" t="n">
        <v>114.45</v>
      </c>
      <c r="E120" s="10" t="n">
        <v>114.45</v>
      </c>
      <c r="F120" s="10" t="n">
        <v>0</v>
      </c>
      <c r="G120" s="10" t="n">
        <v>15</v>
      </c>
      <c r="H120" s="10" t="n">
        <v>123.74</v>
      </c>
      <c r="I120" s="10" t="n">
        <v>123.74</v>
      </c>
      <c r="J120" s="10" t="n">
        <v>0</v>
      </c>
      <c r="K120" s="10" t="n">
        <v>16</v>
      </c>
      <c r="L120" s="10" t="n">
        <v>127.47</v>
      </c>
      <c r="M120" s="10" t="n">
        <v>127.47</v>
      </c>
      <c r="N120" s="10" t="n">
        <v>0</v>
      </c>
      <c r="O120" s="10" t="n">
        <v>46</v>
      </c>
      <c r="P120" s="10" t="n">
        <v>365.66</v>
      </c>
      <c r="Q120" s="10" t="n">
        <v>365.66</v>
      </c>
      <c r="R120" s="10" t="n">
        <v>0</v>
      </c>
      <c r="S120" s="9" t="inlineStr">
        <is>
          <t>16.MJP (Gift)</t>
        </is>
      </c>
      <c r="T120" s="9" t="n">
        <v>0</v>
      </c>
      <c r="U120" s="9" t="inlineStr">
        <is>
          <t>アクティブ</t>
        </is>
      </c>
      <c r="V120" s="9" t="n"/>
      <c r="W120" s="9" t="n"/>
    </row>
    <row r="121">
      <c r="A121" s="7" t="n">
        <v>562024</v>
      </c>
      <c r="B121" s="7" t="inlineStr">
        <is>
          <t>Bunda, Kosuke</t>
        </is>
      </c>
      <c r="C121" s="8" t="n">
        <v>6</v>
      </c>
      <c r="D121" s="8" t="n">
        <v>120.5</v>
      </c>
      <c r="E121" s="8" t="n">
        <v>120.5</v>
      </c>
      <c r="F121" s="8" t="n">
        <v>0</v>
      </c>
      <c r="G121" s="8" t="n">
        <v>6</v>
      </c>
      <c r="H121" s="8" t="n">
        <v>121.08</v>
      </c>
      <c r="I121" s="8" t="n">
        <v>121.08</v>
      </c>
      <c r="J121" s="8" t="n">
        <v>0</v>
      </c>
      <c r="K121" s="8" t="n">
        <v>6</v>
      </c>
      <c r="L121" s="8" t="n">
        <v>113.13</v>
      </c>
      <c r="M121" s="8" t="n">
        <v>113.13</v>
      </c>
      <c r="N121" s="8" t="n">
        <v>0</v>
      </c>
      <c r="O121" s="8" t="n">
        <v>18</v>
      </c>
      <c r="P121" s="8" t="n">
        <v>354.71</v>
      </c>
      <c r="Q121" s="8" t="n">
        <v>354.71</v>
      </c>
      <c r="R121" s="8" t="n">
        <v>0</v>
      </c>
      <c r="S121" s="7" t="inlineStr">
        <is>
          <t>個別</t>
        </is>
      </c>
      <c r="T121" s="7" t="inlineStr">
        <is>
          <t>安積</t>
        </is>
      </c>
      <c r="U121" s="7" t="inlineStr">
        <is>
          <t>既得確保</t>
        </is>
      </c>
      <c r="V121" s="7" t="n"/>
      <c r="W121" s="7" t="n"/>
    </row>
    <row r="122">
      <c r="A122" s="9" t="n">
        <v>565364</v>
      </c>
      <c r="B122" s="9" t="inlineStr">
        <is>
          <t>Sugiyama, Yu</t>
        </is>
      </c>
      <c r="C122" s="10" t="n">
        <v>6</v>
      </c>
      <c r="D122" s="10" t="n">
        <v>106.19</v>
      </c>
      <c r="E122" s="10" t="n">
        <v>53.09</v>
      </c>
      <c r="F122" s="10" t="n">
        <v>53.09</v>
      </c>
      <c r="G122" s="10" t="n">
        <v>6</v>
      </c>
      <c r="H122" s="10" t="n">
        <v>117.76</v>
      </c>
      <c r="I122" s="10" t="n">
        <v>58.88</v>
      </c>
      <c r="J122" s="10" t="n">
        <v>58.88</v>
      </c>
      <c r="K122" s="10" t="n">
        <v>6</v>
      </c>
      <c r="L122" s="10" t="n">
        <v>124.61</v>
      </c>
      <c r="M122" s="10" t="n">
        <v>62.3</v>
      </c>
      <c r="N122" s="10" t="n">
        <v>62.3</v>
      </c>
      <c r="O122" s="10" t="n">
        <v>18</v>
      </c>
      <c r="P122" s="10" t="n">
        <v>348.56</v>
      </c>
      <c r="Q122" s="10" t="n">
        <v>174.28</v>
      </c>
      <c r="R122" s="10" t="n">
        <v>174.28</v>
      </c>
      <c r="S122" s="9" t="inlineStr">
        <is>
          <t>1.道下G</t>
        </is>
      </c>
      <c r="T122" s="9" t="inlineStr">
        <is>
          <t>道下傘下</t>
        </is>
      </c>
      <c r="U122" s="9" t="inlineStr">
        <is>
          <t>移籍</t>
        </is>
      </c>
      <c r="V122" s="9" t="n"/>
      <c r="W122" s="9" t="inlineStr">
        <is>
          <t>道下グループ・・・イントロデューサー分も、マネージャーフィー0.25%も道下さんに報告、Goo分は0.25%</t>
        </is>
      </c>
    </row>
    <row r="123">
      <c r="A123" s="7" t="n">
        <v>564734</v>
      </c>
      <c r="B123" s="7" t="inlineStr">
        <is>
          <t>Growth Passion Planning Co., Ltd.</t>
        </is>
      </c>
      <c r="C123" s="8" t="n">
        <v>15</v>
      </c>
      <c r="D123" s="8" t="n">
        <v>111.65</v>
      </c>
      <c r="E123" s="8" t="n">
        <v>55.82</v>
      </c>
      <c r="F123" s="8" t="n">
        <v>55.82</v>
      </c>
      <c r="G123" s="8" t="n">
        <v>15</v>
      </c>
      <c r="H123" s="8" t="n">
        <v>122.71</v>
      </c>
      <c r="I123" s="8" t="n">
        <v>61.36</v>
      </c>
      <c r="J123" s="8" t="n">
        <v>61.36</v>
      </c>
      <c r="K123" s="8" t="n">
        <v>15</v>
      </c>
      <c r="L123" s="8" t="n">
        <v>121.95</v>
      </c>
      <c r="M123" s="8" t="n">
        <v>60.98</v>
      </c>
      <c r="N123" s="8" t="n">
        <v>60.98</v>
      </c>
      <c r="O123" s="8" t="n">
        <v>45</v>
      </c>
      <c r="P123" s="8" t="n">
        <v>356.31</v>
      </c>
      <c r="Q123" s="8" t="n">
        <v>178.16</v>
      </c>
      <c r="R123" s="8" t="n">
        <v>178.16</v>
      </c>
      <c r="S123" s="7" t="inlineStr">
        <is>
          <t>1.道下G</t>
        </is>
      </c>
      <c r="T123" s="7" t="inlineStr">
        <is>
          <t>川添G</t>
        </is>
      </c>
      <c r="U123" s="7" t="inlineStr">
        <is>
          <t>移籍</t>
        </is>
      </c>
      <c r="V123" s="7" t="n"/>
      <c r="W123" s="7" t="inlineStr">
        <is>
          <t>道下グループ・・・イントロデューサー分も、マネージャーフィー0.25%も道下さんに報告、Goo分は0.25%</t>
        </is>
      </c>
    </row>
    <row r="124">
      <c r="A124" s="9" t="n">
        <v>571851</v>
      </c>
      <c r="B124" s="9" t="inlineStr">
        <is>
          <t>Kozono, Ryoichi</t>
        </is>
      </c>
      <c r="C124" s="10" t="n">
        <v>17</v>
      </c>
      <c r="D124" s="10" t="n">
        <v>92.23999999999999</v>
      </c>
      <c r="E124" s="10" t="n">
        <v>46.12</v>
      </c>
      <c r="F124" s="10" t="n">
        <v>46.12</v>
      </c>
      <c r="G124" s="10" t="n">
        <v>19</v>
      </c>
      <c r="H124" s="10" t="n">
        <v>112.41</v>
      </c>
      <c r="I124" s="10" t="n">
        <v>56.21</v>
      </c>
      <c r="J124" s="10" t="n">
        <v>56.21</v>
      </c>
      <c r="K124" s="10" t="n">
        <v>20</v>
      </c>
      <c r="L124" s="10" t="n">
        <v>131.81</v>
      </c>
      <c r="M124" s="10" t="n">
        <v>65.91</v>
      </c>
      <c r="N124" s="10" t="n">
        <v>65.91</v>
      </c>
      <c r="O124" s="10" t="n">
        <v>56</v>
      </c>
      <c r="P124" s="10" t="n">
        <v>336.47</v>
      </c>
      <c r="Q124" s="10" t="n">
        <v>168.23</v>
      </c>
      <c r="R124" s="10" t="n">
        <v>168.23</v>
      </c>
      <c r="S124" s="9" t="inlineStr">
        <is>
          <t>12.脇坂G</t>
        </is>
      </c>
      <c r="T124" s="9" t="inlineStr">
        <is>
          <t>4 Capital 傘下</t>
        </is>
      </c>
      <c r="U124" s="9" t="inlineStr">
        <is>
          <t>アクティブ</t>
        </is>
      </c>
      <c r="V124" s="9" t="n"/>
      <c r="W124" s="9" t="inlineStr">
        <is>
          <t>脇坂グループ・・・イントロデューサー分も、マネージャーフィー0.25%も脇坂さんに報告、Goo分は0.25%</t>
        </is>
      </c>
    </row>
    <row r="125">
      <c r="A125" s="7" t="n">
        <v>572857</v>
      </c>
      <c r="B125" s="7" t="inlineStr">
        <is>
          <t>Uematsu, Yuta</t>
        </is>
      </c>
      <c r="C125" s="8" t="n">
        <v>5</v>
      </c>
      <c r="D125" s="8" t="n">
        <v>106.25</v>
      </c>
      <c r="E125" s="8" t="n">
        <v>53.13</v>
      </c>
      <c r="F125" s="8" t="n">
        <v>53.13</v>
      </c>
      <c r="G125" s="8" t="n">
        <v>8</v>
      </c>
      <c r="H125" s="8" t="n">
        <v>116.09</v>
      </c>
      <c r="I125" s="8" t="n">
        <v>58.05</v>
      </c>
      <c r="J125" s="8" t="n">
        <v>58.05</v>
      </c>
      <c r="K125" s="8" t="n">
        <v>7</v>
      </c>
      <c r="L125" s="8" t="n">
        <v>110.97</v>
      </c>
      <c r="M125" s="8" t="n">
        <v>55.48</v>
      </c>
      <c r="N125" s="8" t="n">
        <v>55.48</v>
      </c>
      <c r="O125" s="8" t="n">
        <v>20</v>
      </c>
      <c r="P125" s="8" t="n">
        <v>333.31</v>
      </c>
      <c r="Q125" s="8" t="n">
        <v>166.66</v>
      </c>
      <c r="R125" s="8" t="n">
        <v>166.66</v>
      </c>
      <c r="S125" s="7" t="inlineStr">
        <is>
          <t>12.脇坂G</t>
        </is>
      </c>
      <c r="T125" s="7" t="inlineStr">
        <is>
          <t>4 Capital 傘下</t>
        </is>
      </c>
      <c r="U125" s="7" t="inlineStr">
        <is>
          <t>解除済</t>
        </is>
      </c>
      <c r="V125" s="7" t="n"/>
      <c r="W125" s="7" t="inlineStr">
        <is>
          <t>脇坂グループ・・・イントロデューサー分も、マネージャーフィー0.25%も脇坂さんに報告、Goo分は0.25%</t>
        </is>
      </c>
    </row>
    <row r="126">
      <c r="A126" s="9" t="n">
        <v>561228</v>
      </c>
      <c r="B126" s="9" t="inlineStr">
        <is>
          <t>Oba, Masatoshi</t>
        </is>
      </c>
      <c r="C126" s="10" t="n">
        <v>4</v>
      </c>
      <c r="D126" s="10" t="n">
        <v>112.16</v>
      </c>
      <c r="E126" s="10" t="n">
        <v>112.16</v>
      </c>
      <c r="F126" s="10" t="n">
        <v>0</v>
      </c>
      <c r="G126" s="10" t="n">
        <v>4</v>
      </c>
      <c r="H126" s="10" t="n">
        <v>112.94</v>
      </c>
      <c r="I126" s="10" t="n">
        <v>112.94</v>
      </c>
      <c r="J126" s="10" t="n">
        <v>0</v>
      </c>
      <c r="K126" s="10" t="n">
        <v>4</v>
      </c>
      <c r="L126" s="10" t="n">
        <v>106.73</v>
      </c>
      <c r="M126" s="10" t="n">
        <v>106.73</v>
      </c>
      <c r="N126" s="10" t="n">
        <v>0</v>
      </c>
      <c r="O126" s="10" t="n">
        <v>12</v>
      </c>
      <c r="P126" s="10" t="n">
        <v>331.83</v>
      </c>
      <c r="Q126" s="10" t="n">
        <v>331.83</v>
      </c>
      <c r="R126" s="10" t="n">
        <v>0</v>
      </c>
      <c r="S126" s="9" t="inlineStr">
        <is>
          <t>報告しない＞他社</t>
        </is>
      </c>
      <c r="T126" s="9" t="e">
        <v>#N/A</v>
      </c>
      <c r="U126" s="9" t="e">
        <v>#N/A</v>
      </c>
      <c r="V126" s="9" t="n"/>
      <c r="W126" s="9" t="n"/>
    </row>
    <row r="127">
      <c r="A127" s="7" t="n">
        <v>568606</v>
      </c>
      <c r="B127" s="7" t="inlineStr">
        <is>
          <t>Masunaga, Daisuke</t>
        </is>
      </c>
      <c r="C127" s="8" t="n">
        <v>3</v>
      </c>
      <c r="D127" s="8" t="n">
        <v>106.62</v>
      </c>
      <c r="E127" s="8" t="n">
        <v>0</v>
      </c>
      <c r="F127" s="8" t="n">
        <v>0</v>
      </c>
      <c r="G127" s="8" t="n">
        <v>3</v>
      </c>
      <c r="H127" s="8" t="n">
        <v>109.86</v>
      </c>
      <c r="I127" s="8" t="n">
        <v>0</v>
      </c>
      <c r="J127" s="8" t="n">
        <v>0</v>
      </c>
      <c r="K127" s="8" t="n">
        <v>3</v>
      </c>
      <c r="L127" s="8" t="n">
        <v>109.8</v>
      </c>
      <c r="M127" s="8" t="n">
        <v>0</v>
      </c>
      <c r="N127" s="8" t="n">
        <v>0</v>
      </c>
      <c r="O127" s="8" t="n">
        <v>9</v>
      </c>
      <c r="P127" s="8" t="n">
        <v>326.28</v>
      </c>
      <c r="Q127" s="8" t="n">
        <v>0</v>
      </c>
      <c r="R127" s="8" t="n">
        <v>0</v>
      </c>
      <c r="S127" s="7" t="inlineStr">
        <is>
          <t>1.BANK</t>
        </is>
      </c>
      <c r="T127" s="7" t="inlineStr">
        <is>
          <t>増永さん</t>
        </is>
      </c>
      <c r="U127" s="7" t="inlineStr">
        <is>
          <t>アクティブ</t>
        </is>
      </c>
      <c r="V127" s="7" t="n"/>
      <c r="W127" s="7" t="inlineStr">
        <is>
          <t>Bank・・・ACS・PLATS・PLATPLはイントロデューサー分全額 1%</t>
        </is>
      </c>
    </row>
    <row r="128">
      <c r="A128" s="9" t="n">
        <v>572384</v>
      </c>
      <c r="B128" s="9" t="inlineStr">
        <is>
          <t>Morishima, Kensuke</t>
        </is>
      </c>
      <c r="C128" s="10" t="n">
        <v>24</v>
      </c>
      <c r="D128" s="10" t="n">
        <v>75.61</v>
      </c>
      <c r="E128" s="10" t="n">
        <v>37.81</v>
      </c>
      <c r="F128" s="10" t="n">
        <v>37.81</v>
      </c>
      <c r="G128" s="10" t="n">
        <v>30</v>
      </c>
      <c r="H128" s="10" t="n">
        <v>110.92</v>
      </c>
      <c r="I128" s="10" t="n">
        <v>55.46</v>
      </c>
      <c r="J128" s="10" t="n">
        <v>55.46</v>
      </c>
      <c r="K128" s="10" t="n">
        <v>34</v>
      </c>
      <c r="L128" s="10" t="n">
        <v>138.41</v>
      </c>
      <c r="M128" s="10" t="n">
        <v>69.2</v>
      </c>
      <c r="N128" s="10" t="n">
        <v>69.2</v>
      </c>
      <c r="O128" s="10" t="n">
        <v>88</v>
      </c>
      <c r="P128" s="10" t="n">
        <v>324.94</v>
      </c>
      <c r="Q128" s="10" t="n">
        <v>162.47</v>
      </c>
      <c r="R128" s="10" t="n">
        <v>162.47</v>
      </c>
      <c r="S128" s="9" t="inlineStr">
        <is>
          <t>12.脇坂G</t>
        </is>
      </c>
      <c r="T128" s="9" t="inlineStr">
        <is>
          <t>4 Capital 傘下</t>
        </is>
      </c>
      <c r="U128" s="9" t="inlineStr">
        <is>
          <t>アクティブ</t>
        </is>
      </c>
      <c r="V128" s="9" t="n"/>
      <c r="W128" s="9" t="inlineStr">
        <is>
          <t>脇坂グループ・・・イントロデューサー分も、マネージャーフィー0.25%も脇坂さんに報告、Goo分は0.25%</t>
        </is>
      </c>
    </row>
    <row r="129">
      <c r="A129" s="7" t="n">
        <v>571489</v>
      </c>
      <c r="B129" s="7" t="inlineStr">
        <is>
          <t>Okuma, Takamitsu</t>
        </is>
      </c>
      <c r="C129" s="8" t="n">
        <v>23</v>
      </c>
      <c r="D129" s="8" t="n">
        <v>132.56</v>
      </c>
      <c r="E129" s="8" t="n">
        <v>66.28</v>
      </c>
      <c r="F129" s="8" t="n">
        <v>66.28</v>
      </c>
      <c r="G129" s="8" t="n">
        <v>23</v>
      </c>
      <c r="H129" s="8" t="n">
        <v>142.37</v>
      </c>
      <c r="I129" s="8" t="n">
        <v>71.19</v>
      </c>
      <c r="J129" s="8" t="n">
        <v>71.19</v>
      </c>
      <c r="K129" s="8" t="n">
        <v>23</v>
      </c>
      <c r="L129" s="8" t="n">
        <v>49.75</v>
      </c>
      <c r="M129" s="8" t="n">
        <v>24.88</v>
      </c>
      <c r="N129" s="8" t="n">
        <v>24.88</v>
      </c>
      <c r="O129" s="8" t="n">
        <v>69</v>
      </c>
      <c r="P129" s="8" t="n">
        <v>324.69</v>
      </c>
      <c r="Q129" s="8" t="n">
        <v>162.35</v>
      </c>
      <c r="R129" s="8" t="n">
        <v>162.35</v>
      </c>
      <c r="S129" s="7" t="inlineStr">
        <is>
          <t>1.道下G</t>
        </is>
      </c>
      <c r="T129" s="7" t="inlineStr">
        <is>
          <t>小宮山G</t>
        </is>
      </c>
      <c r="U129" s="7" t="inlineStr">
        <is>
          <t>移籍</t>
        </is>
      </c>
      <c r="V129" s="7" t="n"/>
      <c r="W129" s="7" t="inlineStr">
        <is>
          <t>道下グループ・・・イントロデューサー分も、マネージャーフィー0.25%も道下さんに報告、Goo分は0.25%</t>
        </is>
      </c>
    </row>
    <row r="130">
      <c r="A130" s="9" t="n">
        <v>561636</v>
      </c>
      <c r="B130" s="9" t="inlineStr">
        <is>
          <t>Ino, Akira</t>
        </is>
      </c>
      <c r="C130" s="10" t="n">
        <v>7</v>
      </c>
      <c r="D130" s="10" t="n">
        <v>96.62</v>
      </c>
      <c r="E130" s="10" t="n">
        <v>48.31</v>
      </c>
      <c r="F130" s="10" t="n">
        <v>48.31</v>
      </c>
      <c r="G130" s="10" t="n">
        <v>7</v>
      </c>
      <c r="H130" s="10" t="n">
        <v>107.37</v>
      </c>
      <c r="I130" s="10" t="n">
        <v>53.69</v>
      </c>
      <c r="J130" s="10" t="n">
        <v>53.69</v>
      </c>
      <c r="K130" s="10" t="n">
        <v>7</v>
      </c>
      <c r="L130" s="10" t="n">
        <v>117.02</v>
      </c>
      <c r="M130" s="10" t="n">
        <v>58.51</v>
      </c>
      <c r="N130" s="10" t="n">
        <v>58.51</v>
      </c>
      <c r="O130" s="10" t="n">
        <v>21</v>
      </c>
      <c r="P130" s="10" t="n">
        <v>321.01</v>
      </c>
      <c r="Q130" s="10" t="n">
        <v>160.51</v>
      </c>
      <c r="R130" s="10" t="n">
        <v>160.51</v>
      </c>
      <c r="S130" s="9" t="inlineStr">
        <is>
          <t>1.道下G</t>
        </is>
      </c>
      <c r="T130" s="9" t="inlineStr">
        <is>
          <t>佐藤G</t>
        </is>
      </c>
      <c r="U130" s="9" t="inlineStr">
        <is>
          <t>移籍</t>
        </is>
      </c>
      <c r="V130" s="9" t="n"/>
      <c r="W130" s="9" t="inlineStr">
        <is>
          <t>道下グループ・・・イントロデューサー分も、マネージャーフィー0.25%も道下さんに報告、Goo分は0.25%</t>
        </is>
      </c>
    </row>
    <row r="131">
      <c r="A131" s="7" t="n">
        <v>514075</v>
      </c>
      <c r="B131" s="7" t="inlineStr">
        <is>
          <t>Hirose, Daigo</t>
        </is>
      </c>
      <c r="C131" s="8" t="n">
        <v>6</v>
      </c>
      <c r="D131" s="8" t="n">
        <v>112.83</v>
      </c>
      <c r="E131" s="8" t="n">
        <v>112.83</v>
      </c>
      <c r="F131" s="8" t="n">
        <v>0</v>
      </c>
      <c r="G131" s="8" t="n">
        <v>6</v>
      </c>
      <c r="H131" s="8" t="n">
        <v>105.36</v>
      </c>
      <c r="I131" s="8" t="n">
        <v>105.36</v>
      </c>
      <c r="J131" s="8" t="n">
        <v>0</v>
      </c>
      <c r="K131" s="8" t="n">
        <v>6</v>
      </c>
      <c r="L131" s="8" t="n">
        <v>100.56</v>
      </c>
      <c r="M131" s="8" t="n">
        <v>100.56</v>
      </c>
      <c r="N131" s="8" t="n">
        <v>0</v>
      </c>
      <c r="O131" s="8" t="n">
        <v>18</v>
      </c>
      <c r="P131" s="8" t="n">
        <v>318.75</v>
      </c>
      <c r="Q131" s="8" t="n">
        <v>318.75</v>
      </c>
      <c r="R131" s="8" t="n">
        <v>0</v>
      </c>
      <c r="S131" s="7" t="inlineStr">
        <is>
          <t>個別</t>
        </is>
      </c>
      <c r="T131" s="7" t="n">
        <v>0</v>
      </c>
      <c r="U131" s="7" t="inlineStr">
        <is>
          <t>既得確保</t>
        </is>
      </c>
      <c r="V131" s="7" t="n"/>
      <c r="W131" s="7" t="n"/>
    </row>
    <row r="132">
      <c r="A132" s="9" t="n">
        <v>514525</v>
      </c>
      <c r="B132" s="9" t="inlineStr">
        <is>
          <t>Inoue, Masaru</t>
        </is>
      </c>
      <c r="C132" s="10" t="n">
        <v>3</v>
      </c>
      <c r="D132" s="10" t="n">
        <v>114.86</v>
      </c>
      <c r="E132" s="10" t="n">
        <v>114.86</v>
      </c>
      <c r="F132" s="10" t="n">
        <v>0</v>
      </c>
      <c r="G132" s="10" t="n">
        <v>3</v>
      </c>
      <c r="H132" s="10" t="n">
        <v>114.5</v>
      </c>
      <c r="I132" s="10" t="n">
        <v>114.5</v>
      </c>
      <c r="J132" s="10" t="n">
        <v>0</v>
      </c>
      <c r="K132" s="10" t="n">
        <v>3</v>
      </c>
      <c r="L132" s="10" t="n">
        <v>101.99</v>
      </c>
      <c r="M132" s="10" t="n">
        <v>101.99</v>
      </c>
      <c r="N132" s="10" t="n">
        <v>0</v>
      </c>
      <c r="O132" s="10" t="n">
        <v>9</v>
      </c>
      <c r="P132" s="10" t="n">
        <v>331.35</v>
      </c>
      <c r="Q132" s="10" t="n">
        <v>331.35</v>
      </c>
      <c r="R132" s="10" t="n">
        <v>0</v>
      </c>
      <c r="S132" s="9" t="inlineStr">
        <is>
          <t>個別</t>
        </is>
      </c>
      <c r="T132" s="9" t="n">
        <v>0</v>
      </c>
      <c r="U132" s="9" t="inlineStr">
        <is>
          <t>既得確保</t>
        </is>
      </c>
      <c r="V132" s="9" t="n"/>
      <c r="W132" s="9" t="n"/>
    </row>
    <row r="133">
      <c r="A133" s="7" t="n">
        <v>562844</v>
      </c>
      <c r="B133" s="7" t="inlineStr">
        <is>
          <t>Suzuki, Fumiya</t>
        </is>
      </c>
      <c r="C133" s="8" t="n">
        <v>4</v>
      </c>
      <c r="D133" s="8" t="n">
        <v>103.25</v>
      </c>
      <c r="E133" s="8" t="n">
        <v>103.25</v>
      </c>
      <c r="F133" s="8" t="n">
        <v>0</v>
      </c>
      <c r="G133" s="8" t="n">
        <v>4</v>
      </c>
      <c r="H133" s="8" t="n">
        <v>106.09</v>
      </c>
      <c r="I133" s="8" t="n">
        <v>106.09</v>
      </c>
      <c r="J133" s="8" t="n">
        <v>0</v>
      </c>
      <c r="K133" s="8" t="n">
        <v>4</v>
      </c>
      <c r="L133" s="8" t="n">
        <v>104.31</v>
      </c>
      <c r="M133" s="8" t="n">
        <v>104.31</v>
      </c>
      <c r="N133" s="8" t="n">
        <v>0</v>
      </c>
      <c r="O133" s="8" t="n">
        <v>12</v>
      </c>
      <c r="P133" s="8" t="n">
        <v>313.64</v>
      </c>
      <c r="Q133" s="8" t="n">
        <v>313.64</v>
      </c>
      <c r="R133" s="8" t="n">
        <v>0</v>
      </c>
      <c r="S133" s="7" t="inlineStr">
        <is>
          <t>個別</t>
        </is>
      </c>
      <c r="T133" s="7" t="inlineStr">
        <is>
          <t>上野G</t>
        </is>
      </c>
      <c r="U133" s="7" t="inlineStr">
        <is>
          <t>既得確保</t>
        </is>
      </c>
      <c r="V133" s="7" t="n"/>
      <c r="W133" s="7" t="n"/>
    </row>
    <row r="134">
      <c r="A134" s="9" t="n">
        <v>576336</v>
      </c>
      <c r="B134" s="9" t="inlineStr">
        <is>
          <t>Sakasai, Yudai</t>
        </is>
      </c>
      <c r="C134" s="10" t="n">
        <v>5</v>
      </c>
      <c r="D134" s="10" t="n">
        <v>94.38</v>
      </c>
      <c r="E134" s="10" t="n">
        <v>47.19</v>
      </c>
      <c r="F134" s="10" t="n">
        <v>47.19</v>
      </c>
      <c r="G134" s="10" t="n">
        <v>5</v>
      </c>
      <c r="H134" s="10" t="n">
        <v>102.45</v>
      </c>
      <c r="I134" s="10" t="n">
        <v>51.23</v>
      </c>
      <c r="J134" s="10" t="n">
        <v>51.23</v>
      </c>
      <c r="K134" s="10" t="n">
        <v>7</v>
      </c>
      <c r="L134" s="10" t="n">
        <v>108.56</v>
      </c>
      <c r="M134" s="10" t="n">
        <v>54.28</v>
      </c>
      <c r="N134" s="10" t="n">
        <v>54.28</v>
      </c>
      <c r="O134" s="10" t="n">
        <v>17</v>
      </c>
      <c r="P134" s="10" t="n">
        <v>305.4</v>
      </c>
      <c r="Q134" s="10" t="n">
        <v>152.7</v>
      </c>
      <c r="R134" s="10" t="n">
        <v>152.7</v>
      </c>
      <c r="S134" s="9" t="inlineStr">
        <is>
          <t>1.道下G</t>
        </is>
      </c>
      <c r="T134" s="9" t="inlineStr">
        <is>
          <t>小宮山G</t>
        </is>
      </c>
      <c r="U134" s="9" t="inlineStr">
        <is>
          <t>移籍</t>
        </is>
      </c>
      <c r="V134" s="9" t="n"/>
      <c r="W134" s="9" t="inlineStr">
        <is>
          <t>道下グループ・・・イントロデューサー分も、マネージャーフィー0.25%も道下さんに報告、Goo分は0.25%</t>
        </is>
      </c>
    </row>
    <row r="135">
      <c r="A135" s="7" t="n">
        <v>573972</v>
      </c>
      <c r="B135" s="7" t="inlineStr">
        <is>
          <t>Takaishi, Makoto</t>
        </is>
      </c>
      <c r="C135" s="8" t="n">
        <v>15</v>
      </c>
      <c r="D135" s="8" t="n">
        <v>79.97</v>
      </c>
      <c r="E135" s="8" t="n">
        <v>31.9</v>
      </c>
      <c r="F135" s="8" t="n">
        <v>31.9</v>
      </c>
      <c r="G135" s="8" t="n">
        <v>18</v>
      </c>
      <c r="H135" s="8" t="n">
        <v>106.01</v>
      </c>
      <c r="I135" s="8" t="n">
        <v>43.71</v>
      </c>
      <c r="J135" s="8" t="n">
        <v>43.71</v>
      </c>
      <c r="K135" s="8" t="n">
        <v>19</v>
      </c>
      <c r="L135" s="8" t="n">
        <v>126.53</v>
      </c>
      <c r="M135" s="8" t="n">
        <v>54.66</v>
      </c>
      <c r="N135" s="8" t="n">
        <v>54.66</v>
      </c>
      <c r="O135" s="8" t="n">
        <v>52</v>
      </c>
      <c r="P135" s="8" t="n">
        <v>312.51</v>
      </c>
      <c r="Q135" s="8" t="n">
        <v>130.27</v>
      </c>
      <c r="R135" s="8" t="n">
        <v>130.27</v>
      </c>
      <c r="S135" s="7" t="inlineStr">
        <is>
          <t>1.道下G</t>
        </is>
      </c>
      <c r="T135" s="7" t="inlineStr">
        <is>
          <t>杉本G</t>
        </is>
      </c>
      <c r="U135" s="7" t="inlineStr">
        <is>
          <t>移籍</t>
        </is>
      </c>
      <c r="V135" s="7" t="n"/>
      <c r="W135" s="7" t="inlineStr">
        <is>
          <t>道下グループ・・・イントロデューサー分も、マネージャーフィー0.25%も道下さんに報告、Goo分は0.25%</t>
        </is>
      </c>
    </row>
    <row r="136">
      <c r="A136" s="9" t="n">
        <v>570794</v>
      </c>
      <c r="B136" s="9" t="inlineStr">
        <is>
          <t>Nakano, Yuki</t>
        </is>
      </c>
      <c r="C136" s="10" t="n">
        <v>11</v>
      </c>
      <c r="D136" s="10" t="n">
        <v>86.76000000000001</v>
      </c>
      <c r="E136" s="10" t="n">
        <v>43.38</v>
      </c>
      <c r="F136" s="10" t="n">
        <v>43.38</v>
      </c>
      <c r="G136" s="10" t="n">
        <v>10</v>
      </c>
      <c r="H136" s="10" t="n">
        <v>92.42</v>
      </c>
      <c r="I136" s="10" t="n">
        <v>46.21</v>
      </c>
      <c r="J136" s="10" t="n">
        <v>46.21</v>
      </c>
      <c r="K136" s="10" t="n">
        <v>10</v>
      </c>
      <c r="L136" s="10" t="n">
        <v>99.65000000000001</v>
      </c>
      <c r="M136" s="10" t="n">
        <v>49.83</v>
      </c>
      <c r="N136" s="10" t="n">
        <v>49.83</v>
      </c>
      <c r="O136" s="10" t="n">
        <v>31</v>
      </c>
      <c r="P136" s="10" t="n">
        <v>278.83</v>
      </c>
      <c r="Q136" s="10" t="n">
        <v>139.41</v>
      </c>
      <c r="R136" s="10" t="n">
        <v>139.41</v>
      </c>
      <c r="S136" s="9" t="inlineStr">
        <is>
          <t>1.道下G</t>
        </is>
      </c>
      <c r="T136" s="9" t="inlineStr">
        <is>
          <t>小宮山G</t>
        </is>
      </c>
      <c r="U136" s="9" t="inlineStr">
        <is>
          <t>移籍</t>
        </is>
      </c>
      <c r="V136" s="9" t="n"/>
      <c r="W136" s="9" t="inlineStr">
        <is>
          <t>道下グループ・・・イントロデューサー分も、マネージャーフィー0.25%も道下さんに報告、Goo分は0.25%</t>
        </is>
      </c>
    </row>
    <row r="137">
      <c r="A137" s="7" t="n">
        <v>572553</v>
      </c>
      <c r="B137" s="7" t="inlineStr">
        <is>
          <t>Nishijima, Masahiko</t>
        </is>
      </c>
      <c r="C137" s="8" t="n">
        <v>12</v>
      </c>
      <c r="D137" s="8" t="n">
        <v>75.95</v>
      </c>
      <c r="E137" s="8" t="n">
        <v>75.95</v>
      </c>
      <c r="F137" s="8" t="n">
        <v>0</v>
      </c>
      <c r="G137" s="8" t="n">
        <v>12</v>
      </c>
      <c r="H137" s="8" t="n">
        <v>94.83</v>
      </c>
      <c r="I137" s="8" t="n">
        <v>94.83</v>
      </c>
      <c r="J137" s="8" t="n">
        <v>0</v>
      </c>
      <c r="K137" s="8" t="n">
        <v>12</v>
      </c>
      <c r="L137" s="8" t="n">
        <v>106.97</v>
      </c>
      <c r="M137" s="8" t="n">
        <v>106.97</v>
      </c>
      <c r="N137" s="8" t="n">
        <v>0</v>
      </c>
      <c r="O137" s="8" t="n">
        <v>36</v>
      </c>
      <c r="P137" s="8" t="n">
        <v>277.75</v>
      </c>
      <c r="Q137" s="8" t="n">
        <v>277.75</v>
      </c>
      <c r="R137" s="8" t="n">
        <v>0</v>
      </c>
      <c r="S137" s="7" t="n">
        <v>0</v>
      </c>
      <c r="T137" s="7" t="n">
        <v>0</v>
      </c>
      <c r="U137" s="7" t="inlineStr">
        <is>
          <t>解除済</t>
        </is>
      </c>
      <c r="V137" s="7" t="n"/>
      <c r="W137" s="7" t="n"/>
    </row>
    <row r="138">
      <c r="A138" s="9" t="n">
        <v>564050</v>
      </c>
      <c r="B138" s="9" t="inlineStr">
        <is>
          <t>Kawamura, Yuma</t>
        </is>
      </c>
      <c r="C138" s="10" t="n">
        <v>4</v>
      </c>
      <c r="D138" s="10" t="n">
        <v>95.87</v>
      </c>
      <c r="E138" s="10" t="n">
        <v>95.87</v>
      </c>
      <c r="F138" s="10" t="n">
        <v>0</v>
      </c>
      <c r="G138" s="10" t="n">
        <v>3</v>
      </c>
      <c r="H138" s="10" t="n">
        <v>86.69</v>
      </c>
      <c r="I138" s="10" t="n">
        <v>86.69</v>
      </c>
      <c r="J138" s="10" t="n">
        <v>0</v>
      </c>
      <c r="K138" s="10" t="n">
        <v>3</v>
      </c>
      <c r="L138" s="10" t="n">
        <v>81.26000000000001</v>
      </c>
      <c r="M138" s="10" t="n">
        <v>81.26000000000001</v>
      </c>
      <c r="N138" s="10" t="n">
        <v>0</v>
      </c>
      <c r="O138" s="10" t="n">
        <v>10</v>
      </c>
      <c r="P138" s="10" t="n">
        <v>263.82</v>
      </c>
      <c r="Q138" s="10" t="n">
        <v>263.82</v>
      </c>
      <c r="R138" s="10" t="n">
        <v>0</v>
      </c>
      <c r="S138" s="9" t="inlineStr">
        <is>
          <t>2.旧川村G (Gift)</t>
        </is>
      </c>
      <c r="T138" s="9" t="n">
        <v>0</v>
      </c>
      <c r="U138" s="9" t="inlineStr">
        <is>
          <t>アクティブ</t>
        </is>
      </c>
      <c r="V138" s="9" t="n"/>
      <c r="W138" s="9" t="n"/>
    </row>
    <row r="139">
      <c r="A139" s="7" t="n">
        <v>570491</v>
      </c>
      <c r="B139" s="7" t="inlineStr">
        <is>
          <t>Kitayama, Yoshitatsu</t>
        </is>
      </c>
      <c r="C139" s="8" t="n">
        <v>12</v>
      </c>
      <c r="D139" s="8" t="n">
        <v>84.17</v>
      </c>
      <c r="E139" s="8" t="n">
        <v>84.17</v>
      </c>
      <c r="F139" s="8" t="n">
        <v>0</v>
      </c>
      <c r="G139" s="8" t="n">
        <v>14</v>
      </c>
      <c r="H139" s="8" t="n">
        <v>89.98999999999999</v>
      </c>
      <c r="I139" s="8" t="n">
        <v>89.98999999999999</v>
      </c>
      <c r="J139" s="8" t="n">
        <v>0</v>
      </c>
      <c r="K139" s="8" t="n">
        <v>15</v>
      </c>
      <c r="L139" s="8" t="n">
        <v>88.65000000000001</v>
      </c>
      <c r="M139" s="8" t="n">
        <v>88.65000000000001</v>
      </c>
      <c r="N139" s="8" t="n">
        <v>0</v>
      </c>
      <c r="O139" s="8" t="n">
        <v>41</v>
      </c>
      <c r="P139" s="8" t="n">
        <v>262.82</v>
      </c>
      <c r="Q139" s="8" t="n">
        <v>262.82</v>
      </c>
      <c r="R139" s="8" t="n">
        <v>0</v>
      </c>
      <c r="S139" s="7" t="inlineStr">
        <is>
          <t>15.Zenith　※MJP除く</t>
        </is>
      </c>
      <c r="T139" s="7" t="n">
        <v>0</v>
      </c>
      <c r="U139" s="7" t="inlineStr">
        <is>
          <t>アクティブ</t>
        </is>
      </c>
      <c r="V139" s="7" t="n"/>
      <c r="W139" s="7" t="n"/>
    </row>
    <row r="140">
      <c r="A140" s="9" t="n">
        <v>562937</v>
      </c>
      <c r="B140" s="9" t="inlineStr">
        <is>
          <t>Kameyama, Yohei</t>
        </is>
      </c>
      <c r="C140" s="10" t="n">
        <v>3</v>
      </c>
      <c r="D140" s="10" t="n">
        <v>83.34</v>
      </c>
      <c r="E140" s="10" t="n">
        <v>83.34</v>
      </c>
      <c r="F140" s="10" t="n">
        <v>0</v>
      </c>
      <c r="G140" s="10" t="n">
        <v>3</v>
      </c>
      <c r="H140" s="10" t="n">
        <v>90.05</v>
      </c>
      <c r="I140" s="10" t="n">
        <v>90.05</v>
      </c>
      <c r="J140" s="10" t="n">
        <v>0</v>
      </c>
      <c r="K140" s="10" t="n">
        <v>3</v>
      </c>
      <c r="L140" s="10" t="n">
        <v>86.40000000000001</v>
      </c>
      <c r="M140" s="10" t="n">
        <v>86.40000000000001</v>
      </c>
      <c r="N140" s="10" t="n">
        <v>0</v>
      </c>
      <c r="O140" s="10" t="n">
        <v>9</v>
      </c>
      <c r="P140" s="10" t="n">
        <v>259.78</v>
      </c>
      <c r="Q140" s="10" t="n">
        <v>259.78</v>
      </c>
      <c r="R140" s="10" t="n">
        <v>0</v>
      </c>
      <c r="S140" s="9" t="inlineStr">
        <is>
          <t>個別</t>
        </is>
      </c>
      <c r="T140" s="9" t="inlineStr">
        <is>
          <t>Official</t>
        </is>
      </c>
      <c r="U140" s="9" t="inlineStr">
        <is>
          <t>既得確保</t>
        </is>
      </c>
      <c r="V140" s="9" t="n"/>
      <c r="W140" s="9" t="n"/>
    </row>
    <row r="141">
      <c r="A141" s="7" t="n">
        <v>573898</v>
      </c>
      <c r="B141" s="7" t="inlineStr">
        <is>
          <t>Sakamoto, Yuta</t>
        </is>
      </c>
      <c r="C141" s="8" t="n">
        <v>4</v>
      </c>
      <c r="D141" s="8" t="n">
        <v>76.06</v>
      </c>
      <c r="E141" s="8" t="n">
        <v>38.03</v>
      </c>
      <c r="F141" s="8" t="n">
        <v>38.03</v>
      </c>
      <c r="G141" s="8" t="n">
        <v>4</v>
      </c>
      <c r="H141" s="8" t="n">
        <v>87.61</v>
      </c>
      <c r="I141" s="8" t="n">
        <v>43.8</v>
      </c>
      <c r="J141" s="8" t="n">
        <v>43.8</v>
      </c>
      <c r="K141" s="8" t="n">
        <v>4</v>
      </c>
      <c r="L141" s="8" t="n">
        <v>93.69</v>
      </c>
      <c r="M141" s="8" t="n">
        <v>46.84</v>
      </c>
      <c r="N141" s="8" t="n">
        <v>46.84</v>
      </c>
      <c r="O141" s="8" t="n">
        <v>12</v>
      </c>
      <c r="P141" s="8" t="n">
        <v>257.35</v>
      </c>
      <c r="Q141" s="8" t="n">
        <v>128.68</v>
      </c>
      <c r="R141" s="8" t="n">
        <v>128.68</v>
      </c>
      <c r="S141" s="7" t="inlineStr">
        <is>
          <t>12.脇坂G</t>
        </is>
      </c>
      <c r="T141" s="7" t="inlineStr">
        <is>
          <t>4 Capital 傘下</t>
        </is>
      </c>
      <c r="U141" s="7" t="inlineStr">
        <is>
          <t>アクティブ</t>
        </is>
      </c>
      <c r="V141" s="7" t="n"/>
      <c r="W141" s="7" t="inlineStr">
        <is>
          <t>脇坂グループ・・・イントロデューサー分も、マネージャーフィー0.25%も脇坂さんに報告、Goo分は0.25%</t>
        </is>
      </c>
    </row>
    <row r="142">
      <c r="A142" s="9" t="n">
        <v>573088</v>
      </c>
      <c r="B142" s="9" t="inlineStr">
        <is>
          <t>Matsunaga, Akihiro</t>
        </is>
      </c>
      <c r="C142" s="10" t="n">
        <v>6</v>
      </c>
      <c r="D142" s="10" t="n">
        <v>78.15000000000001</v>
      </c>
      <c r="E142" s="10" t="n">
        <v>78.15000000000001</v>
      </c>
      <c r="F142" s="10" t="n">
        <v>0</v>
      </c>
      <c r="G142" s="10" t="n">
        <v>6</v>
      </c>
      <c r="H142" s="10" t="n">
        <v>87.33</v>
      </c>
      <c r="I142" s="10" t="n">
        <v>87.33</v>
      </c>
      <c r="J142" s="10" t="n">
        <v>0</v>
      </c>
      <c r="K142" s="10" t="n">
        <v>6</v>
      </c>
      <c r="L142" s="10" t="n">
        <v>91.45999999999999</v>
      </c>
      <c r="M142" s="10" t="n">
        <v>91.45999999999999</v>
      </c>
      <c r="N142" s="10" t="n">
        <v>0</v>
      </c>
      <c r="O142" s="10" t="n">
        <v>18</v>
      </c>
      <c r="P142" s="10" t="n">
        <v>256.94</v>
      </c>
      <c r="Q142" s="10" t="n">
        <v>256.94</v>
      </c>
      <c r="R142" s="10" t="n">
        <v>0</v>
      </c>
      <c r="S142" s="9" t="inlineStr">
        <is>
          <t>7.長谷川G</t>
        </is>
      </c>
      <c r="T142" s="9" t="n">
        <v>0</v>
      </c>
      <c r="U142" s="9" t="inlineStr">
        <is>
          <t>既得確保</t>
        </is>
      </c>
      <c r="V142" s="9" t="n"/>
      <c r="W142" s="9" t="n"/>
    </row>
    <row r="143">
      <c r="A143" s="7" t="n">
        <v>572212</v>
      </c>
      <c r="B143" s="7" t="inlineStr">
        <is>
          <t>OneAsia Co., Ltd.</t>
        </is>
      </c>
      <c r="C143" s="8" t="n">
        <v>9</v>
      </c>
      <c r="D143" s="8" t="n">
        <v>86.78</v>
      </c>
      <c r="E143" s="8" t="n">
        <v>86.78</v>
      </c>
      <c r="F143" s="8" t="n">
        <v>0</v>
      </c>
      <c r="G143" s="8" t="n">
        <v>8</v>
      </c>
      <c r="H143" s="8" t="n">
        <v>83.8</v>
      </c>
      <c r="I143" s="8" t="n">
        <v>83.8</v>
      </c>
      <c r="J143" s="8" t="n">
        <v>0</v>
      </c>
      <c r="K143" s="8" t="n">
        <v>8</v>
      </c>
      <c r="L143" s="8" t="n">
        <v>85.05</v>
      </c>
      <c r="M143" s="8" t="n">
        <v>85.05</v>
      </c>
      <c r="N143" s="8" t="n">
        <v>0</v>
      </c>
      <c r="O143" s="8" t="n">
        <v>25</v>
      </c>
      <c r="P143" s="8" t="n">
        <v>255.62</v>
      </c>
      <c r="Q143" s="8" t="n">
        <v>255.62</v>
      </c>
      <c r="R143" s="8" t="n">
        <v>0</v>
      </c>
      <c r="S143" s="7" t="inlineStr">
        <is>
          <t>個別</t>
        </is>
      </c>
      <c r="T143" s="7" t="n">
        <v>0</v>
      </c>
      <c r="U143" s="7" t="inlineStr">
        <is>
          <t>既得確保</t>
        </is>
      </c>
      <c r="V143" s="7" t="n"/>
      <c r="W143" s="7" t="n"/>
    </row>
    <row r="144">
      <c r="A144" s="9" t="n">
        <v>570095</v>
      </c>
      <c r="B144" s="9" t="inlineStr">
        <is>
          <t>Terrace Co., Ltd.</t>
        </is>
      </c>
      <c r="C144" s="10" t="n">
        <v>8</v>
      </c>
      <c r="D144" s="10" t="n">
        <v>81.48999999999999</v>
      </c>
      <c r="E144" s="10" t="n">
        <v>40.74</v>
      </c>
      <c r="F144" s="10" t="n">
        <v>40.74</v>
      </c>
      <c r="G144" s="10" t="n">
        <v>7</v>
      </c>
      <c r="H144" s="10" t="n">
        <v>83.84</v>
      </c>
      <c r="I144" s="10" t="n">
        <v>41.92</v>
      </c>
      <c r="J144" s="10" t="n">
        <v>41.92</v>
      </c>
      <c r="K144" s="10" t="n">
        <v>7</v>
      </c>
      <c r="L144" s="10" t="n">
        <v>87.56</v>
      </c>
      <c r="M144" s="10" t="n">
        <v>43.78</v>
      </c>
      <c r="N144" s="10" t="n">
        <v>43.78</v>
      </c>
      <c r="O144" s="10" t="n">
        <v>22</v>
      </c>
      <c r="P144" s="10" t="n">
        <v>252.89</v>
      </c>
      <c r="Q144" s="10" t="n">
        <v>126.44</v>
      </c>
      <c r="R144" s="10" t="n">
        <v>126.44</v>
      </c>
      <c r="S144" s="9" t="inlineStr">
        <is>
          <t>12.脇坂G</t>
        </is>
      </c>
      <c r="T144" s="9" t="inlineStr">
        <is>
          <t>TerraceG</t>
        </is>
      </c>
      <c r="U144" s="9" t="inlineStr">
        <is>
          <t>解除済</t>
        </is>
      </c>
      <c r="V144" s="9" t="n"/>
      <c r="W144" s="9" t="inlineStr">
        <is>
          <t>脇坂グループ・・・イントロデューサー分も、マネージャーフィー0.25%も脇坂さんに報告、Goo分は0.25%</t>
        </is>
      </c>
    </row>
    <row r="145">
      <c r="A145" s="7" t="n">
        <v>578648</v>
      </c>
      <c r="B145" s="7" t="inlineStr">
        <is>
          <t>Minato Consult Co., Ltd.</t>
        </is>
      </c>
      <c r="C145" s="8" t="n">
        <v>5</v>
      </c>
      <c r="D145" s="8" t="n">
        <v>50.49</v>
      </c>
      <c r="E145" s="8" t="n">
        <v>1.66</v>
      </c>
      <c r="F145" s="8" t="n">
        <v>0</v>
      </c>
      <c r="G145" s="8" t="n">
        <v>5</v>
      </c>
      <c r="H145" s="8" t="n">
        <v>99.17</v>
      </c>
      <c r="I145" s="8" t="n">
        <v>2.14</v>
      </c>
      <c r="J145" s="8" t="n">
        <v>0</v>
      </c>
      <c r="K145" s="8" t="n">
        <v>5</v>
      </c>
      <c r="L145" s="8" t="n">
        <v>98.03</v>
      </c>
      <c r="M145" s="8" t="n">
        <v>2.34</v>
      </c>
      <c r="N145" s="8" t="n">
        <v>0</v>
      </c>
      <c r="O145" s="8" t="n">
        <v>15</v>
      </c>
      <c r="P145" s="8" t="n">
        <v>247.69</v>
      </c>
      <c r="Q145" s="8" t="n">
        <v>6.14</v>
      </c>
      <c r="R145" s="8" t="n">
        <v>0</v>
      </c>
      <c r="S145" s="7" t="inlineStr">
        <is>
          <t>1.BANK</t>
        </is>
      </c>
      <c r="T145" s="7" t="inlineStr">
        <is>
          <t>ミナト</t>
        </is>
      </c>
      <c r="U145" s="7" t="inlineStr">
        <is>
          <t>アクティブ</t>
        </is>
      </c>
      <c r="V145" s="7" t="n"/>
      <c r="W145" s="7" t="inlineStr">
        <is>
          <t>Bank・・・ACS・PLATS・PLATPLはイントロデューサー分全額 1%</t>
        </is>
      </c>
    </row>
    <row r="146">
      <c r="A146" s="9" t="n">
        <v>580340</v>
      </c>
      <c r="B146" s="9" t="inlineStr">
        <is>
          <t>Iwasaki, Atsuki</t>
        </is>
      </c>
      <c r="C146" s="10" t="n">
        <v>1</v>
      </c>
      <c r="D146" s="10" t="n">
        <v>80.09</v>
      </c>
      <c r="E146" s="10" t="n">
        <v>0</v>
      </c>
      <c r="F146" s="10" t="n">
        <v>0</v>
      </c>
      <c r="G146" s="10" t="n">
        <v>1</v>
      </c>
      <c r="H146" s="10" t="n">
        <v>82.89</v>
      </c>
      <c r="I146" s="10" t="n">
        <v>0</v>
      </c>
      <c r="J146" s="10" t="n">
        <v>0</v>
      </c>
      <c r="K146" s="10" t="n">
        <v>1</v>
      </c>
      <c r="L146" s="10" t="n">
        <v>82.97</v>
      </c>
      <c r="M146" s="10" t="n">
        <v>0</v>
      </c>
      <c r="N146" s="10" t="n">
        <v>0</v>
      </c>
      <c r="O146" s="10" t="n">
        <v>3</v>
      </c>
      <c r="P146" s="10" t="n">
        <v>245.95</v>
      </c>
      <c r="Q146" s="10" t="n">
        <v>0</v>
      </c>
      <c r="R146" s="10" t="n">
        <v>0</v>
      </c>
      <c r="S146" s="9" t="inlineStr">
        <is>
          <t>1.BANK</t>
        </is>
      </c>
      <c r="T146" s="9" t="inlineStr">
        <is>
          <t>中谷G</t>
        </is>
      </c>
      <c r="U146" s="9" t="inlineStr">
        <is>
          <t>アクティブ</t>
        </is>
      </c>
      <c r="V146" s="9" t="n"/>
      <c r="W146" s="9" t="inlineStr">
        <is>
          <t>Bank・・・ACS・PLATS・PLATPLはイントロデューサー分全額 1%</t>
        </is>
      </c>
    </row>
    <row r="147">
      <c r="A147" s="7" t="n">
        <v>571659</v>
      </c>
      <c r="B147" s="7" t="inlineStr">
        <is>
          <t>Yamamoto, Yuichiro</t>
        </is>
      </c>
      <c r="C147" s="8" t="n">
        <v>4</v>
      </c>
      <c r="D147" s="8" t="n">
        <v>90.88</v>
      </c>
      <c r="E147" s="8" t="n">
        <v>45.44</v>
      </c>
      <c r="F147" s="8" t="n">
        <v>45.44</v>
      </c>
      <c r="G147" s="8" t="n">
        <v>3</v>
      </c>
      <c r="H147" s="8" t="n">
        <v>89.31999999999999</v>
      </c>
      <c r="I147" s="8" t="n">
        <v>44.66</v>
      </c>
      <c r="J147" s="8" t="n">
        <v>44.66</v>
      </c>
      <c r="K147" s="8" t="n">
        <v>3</v>
      </c>
      <c r="L147" s="8" t="n">
        <v>62.63</v>
      </c>
      <c r="M147" s="8" t="n">
        <v>31.32</v>
      </c>
      <c r="N147" s="8" t="n">
        <v>31.32</v>
      </c>
      <c r="O147" s="8" t="n">
        <v>10</v>
      </c>
      <c r="P147" s="8" t="n">
        <v>242.83</v>
      </c>
      <c r="Q147" s="8" t="n">
        <v>121.41</v>
      </c>
      <c r="R147" s="8" t="n">
        <v>121.41</v>
      </c>
      <c r="S147" s="7" t="inlineStr">
        <is>
          <t>12.脇坂G</t>
        </is>
      </c>
      <c r="T147" s="7" t="inlineStr">
        <is>
          <t>Onely G</t>
        </is>
      </c>
      <c r="U147" s="7" t="inlineStr">
        <is>
          <t>既得確保</t>
        </is>
      </c>
      <c r="V147" s="7" t="n"/>
      <c r="W147" s="7" t="inlineStr">
        <is>
          <t>脇坂グループ・・・イントロデューサー分も、マネージャーフィー0.25%も脇坂さんに報告、Goo分は0.25%</t>
        </is>
      </c>
    </row>
    <row r="148">
      <c r="A148" s="9" t="n">
        <v>578254</v>
      </c>
      <c r="B148" s="9" t="inlineStr">
        <is>
          <t>Sagane, Naoki</t>
        </is>
      </c>
      <c r="C148" s="10" t="n">
        <v>8</v>
      </c>
      <c r="D148" s="10" t="n">
        <v>77.38</v>
      </c>
      <c r="E148" s="10" t="n">
        <v>77.38</v>
      </c>
      <c r="F148" s="10" t="n">
        <v>0</v>
      </c>
      <c r="G148" s="10" t="n">
        <v>8</v>
      </c>
      <c r="H148" s="10" t="n">
        <v>84.52</v>
      </c>
      <c r="I148" s="10" t="n">
        <v>84.52</v>
      </c>
      <c r="J148" s="10" t="n">
        <v>0</v>
      </c>
      <c r="K148" s="10" t="n">
        <v>7</v>
      </c>
      <c r="L148" s="10" t="n">
        <v>74.05</v>
      </c>
      <c r="M148" s="10" t="n">
        <v>74.05</v>
      </c>
      <c r="N148" s="10" t="n">
        <v>0</v>
      </c>
      <c r="O148" s="10" t="n">
        <v>23</v>
      </c>
      <c r="P148" s="10" t="n">
        <v>235.95</v>
      </c>
      <c r="Q148" s="10" t="n">
        <v>235.95</v>
      </c>
      <c r="R148" s="10" t="n">
        <v>0</v>
      </c>
      <c r="S148" s="9" t="inlineStr">
        <is>
          <t>2.旧川村G (Gift)</t>
        </is>
      </c>
      <c r="T148" s="9" t="n">
        <v>0</v>
      </c>
      <c r="U148" s="9" t="inlineStr">
        <is>
          <t>アクティブ</t>
        </is>
      </c>
      <c r="V148" s="9" t="n"/>
      <c r="W148" s="9" t="n"/>
    </row>
    <row r="149">
      <c r="A149" s="7" t="n">
        <v>575597</v>
      </c>
      <c r="B149" s="7" t="inlineStr">
        <is>
          <t>Nakatsuchi, Hiroshi</t>
        </is>
      </c>
      <c r="C149" s="8" t="n">
        <v>7</v>
      </c>
      <c r="D149" s="8" t="n">
        <v>64.17</v>
      </c>
      <c r="E149" s="8" t="n">
        <v>32.09</v>
      </c>
      <c r="F149" s="8" t="n">
        <v>32.09</v>
      </c>
      <c r="G149" s="8" t="n">
        <v>7</v>
      </c>
      <c r="H149" s="8" t="n">
        <v>78.31999999999999</v>
      </c>
      <c r="I149" s="8" t="n">
        <v>39.16</v>
      </c>
      <c r="J149" s="8" t="n">
        <v>39.16</v>
      </c>
      <c r="K149" s="8" t="n">
        <v>7</v>
      </c>
      <c r="L149" s="8" t="n">
        <v>85.28</v>
      </c>
      <c r="M149" s="8" t="n">
        <v>42.64</v>
      </c>
      <c r="N149" s="8" t="n">
        <v>42.64</v>
      </c>
      <c r="O149" s="8" t="n">
        <v>21</v>
      </c>
      <c r="P149" s="8" t="n">
        <v>227.78</v>
      </c>
      <c r="Q149" s="8" t="n">
        <v>113.89</v>
      </c>
      <c r="R149" s="8" t="n">
        <v>113.89</v>
      </c>
      <c r="S149" s="7" t="inlineStr">
        <is>
          <t>12.脇坂G</t>
        </is>
      </c>
      <c r="T149" s="7" t="inlineStr">
        <is>
          <t>4 Capital 傘下</t>
        </is>
      </c>
      <c r="U149" s="7" t="inlineStr">
        <is>
          <t>既得確保</t>
        </is>
      </c>
      <c r="V149" s="7" t="n"/>
      <c r="W149" s="7" t="inlineStr">
        <is>
          <t>脇坂グループ・・・イントロデューサー分も、マネージャーフィー0.25%も脇坂さんに報告、Goo分は0.25%</t>
        </is>
      </c>
    </row>
    <row r="150">
      <c r="A150" s="9" t="n">
        <v>564291</v>
      </c>
      <c r="B150" s="9" t="inlineStr">
        <is>
          <t>Higashino, Yuta</t>
        </is>
      </c>
      <c r="C150" s="10" t="n">
        <v>3</v>
      </c>
      <c r="D150" s="10" t="n">
        <v>74.09</v>
      </c>
      <c r="E150" s="10" t="n">
        <v>74.09</v>
      </c>
      <c r="F150" s="10" t="n">
        <v>0</v>
      </c>
      <c r="G150" s="10" t="n">
        <v>3</v>
      </c>
      <c r="H150" s="10" t="n">
        <v>75.90000000000001</v>
      </c>
      <c r="I150" s="10" t="n">
        <v>75.90000000000001</v>
      </c>
      <c r="J150" s="10" t="n">
        <v>0</v>
      </c>
      <c r="K150" s="10" t="n">
        <v>3</v>
      </c>
      <c r="L150" s="10" t="n">
        <v>72.52</v>
      </c>
      <c r="M150" s="10" t="n">
        <v>72.52</v>
      </c>
      <c r="N150" s="10" t="n">
        <v>0</v>
      </c>
      <c r="O150" s="10" t="n">
        <v>9</v>
      </c>
      <c r="P150" s="10" t="n">
        <v>222.5</v>
      </c>
      <c r="Q150" s="10" t="n">
        <v>222.5</v>
      </c>
      <c r="R150" s="10" t="n">
        <v>0</v>
      </c>
      <c r="S150" s="9" t="inlineStr">
        <is>
          <t>個別</t>
        </is>
      </c>
      <c r="T150" s="9" t="inlineStr">
        <is>
          <t>安積</t>
        </is>
      </c>
      <c r="U150" s="9" t="inlineStr">
        <is>
          <t>既得確保</t>
        </is>
      </c>
      <c r="V150" s="9" t="n"/>
      <c r="W150" s="9" t="n"/>
    </row>
    <row r="151">
      <c r="A151" s="7" t="n">
        <v>570795</v>
      </c>
      <c r="B151" s="7" t="inlineStr">
        <is>
          <t>Yoneno, Tsukasa</t>
        </is>
      </c>
      <c r="C151" s="8" t="n">
        <v>2</v>
      </c>
      <c r="D151" s="8" t="n">
        <v>71.98999999999999</v>
      </c>
      <c r="E151" s="8" t="n">
        <v>71.98999999999999</v>
      </c>
      <c r="F151" s="8" t="n">
        <v>0</v>
      </c>
      <c r="G151" s="8" t="n">
        <v>2</v>
      </c>
      <c r="H151" s="8" t="n">
        <v>75.44</v>
      </c>
      <c r="I151" s="8" t="n">
        <v>75.44</v>
      </c>
      <c r="J151" s="8" t="n">
        <v>0</v>
      </c>
      <c r="K151" s="8" t="n">
        <v>2</v>
      </c>
      <c r="L151" s="8" t="n">
        <v>70.81</v>
      </c>
      <c r="M151" s="8" t="n">
        <v>70.81</v>
      </c>
      <c r="N151" s="8" t="n">
        <v>0</v>
      </c>
      <c r="O151" s="8" t="n">
        <v>6</v>
      </c>
      <c r="P151" s="8" t="n">
        <v>218.23</v>
      </c>
      <c r="Q151" s="8" t="n">
        <v>218.23</v>
      </c>
      <c r="R151" s="8" t="n">
        <v>0</v>
      </c>
      <c r="S151" s="7" t="inlineStr">
        <is>
          <t>個別</t>
        </is>
      </c>
      <c r="T151" s="7" t="inlineStr">
        <is>
          <t>もりし</t>
        </is>
      </c>
      <c r="U151" s="7" t="inlineStr">
        <is>
          <t>既得確保</t>
        </is>
      </c>
      <c r="V151" s="7" t="n"/>
      <c r="W151" s="7" t="n"/>
    </row>
    <row r="152">
      <c r="A152" s="9" t="n">
        <v>564647</v>
      </c>
      <c r="B152" s="9" t="inlineStr">
        <is>
          <t>Nishizuka, Terumi</t>
        </is>
      </c>
      <c r="C152" s="10" t="n">
        <v>2</v>
      </c>
      <c r="D152" s="10" t="n">
        <v>71.54000000000001</v>
      </c>
      <c r="E152" s="10" t="n">
        <v>71.54000000000001</v>
      </c>
      <c r="F152" s="10" t="n">
        <v>0</v>
      </c>
      <c r="G152" s="10" t="n">
        <v>2</v>
      </c>
      <c r="H152" s="10" t="n">
        <v>72.33</v>
      </c>
      <c r="I152" s="10" t="n">
        <v>72.33</v>
      </c>
      <c r="J152" s="10" t="n">
        <v>0</v>
      </c>
      <c r="K152" s="10" t="n">
        <v>2</v>
      </c>
      <c r="L152" s="10" t="n">
        <v>69.67</v>
      </c>
      <c r="M152" s="10" t="n">
        <v>69.67</v>
      </c>
      <c r="N152" s="10" t="n">
        <v>0</v>
      </c>
      <c r="O152" s="10" t="n">
        <v>6</v>
      </c>
      <c r="P152" s="10" t="n">
        <v>213.55</v>
      </c>
      <c r="Q152" s="10" t="n">
        <v>213.55</v>
      </c>
      <c r="R152" s="10" t="n">
        <v>0</v>
      </c>
      <c r="S152" s="9" t="inlineStr">
        <is>
          <t>個別</t>
        </is>
      </c>
      <c r="T152" s="9" t="n">
        <v>0</v>
      </c>
      <c r="U152" s="9" t="inlineStr">
        <is>
          <t>既得確保</t>
        </is>
      </c>
      <c r="V152" s="9" t="n"/>
      <c r="W152" s="9" t="n"/>
    </row>
    <row r="153">
      <c r="A153" s="7" t="n">
        <v>570650</v>
      </c>
      <c r="B153" s="7" t="inlineStr">
        <is>
          <t>Ihara, Yusaku</t>
        </is>
      </c>
      <c r="C153" s="8" t="n">
        <v>3</v>
      </c>
      <c r="D153" s="8" t="n">
        <v>65.47</v>
      </c>
      <c r="E153" s="8" t="n">
        <v>65.47</v>
      </c>
      <c r="F153" s="8" t="n">
        <v>0</v>
      </c>
      <c r="G153" s="8" t="n">
        <v>3</v>
      </c>
      <c r="H153" s="8" t="n">
        <v>72.53</v>
      </c>
      <c r="I153" s="8" t="n">
        <v>72.53</v>
      </c>
      <c r="J153" s="8" t="n">
        <v>0</v>
      </c>
      <c r="K153" s="8" t="n">
        <v>3</v>
      </c>
      <c r="L153" s="8" t="n">
        <v>71.86</v>
      </c>
      <c r="M153" s="8" t="n">
        <v>71.86</v>
      </c>
      <c r="N153" s="8" t="n">
        <v>0</v>
      </c>
      <c r="O153" s="8" t="n">
        <v>9</v>
      </c>
      <c r="P153" s="8" t="n">
        <v>209.88</v>
      </c>
      <c r="Q153" s="8" t="n">
        <v>209.88</v>
      </c>
      <c r="R153" s="8" t="n">
        <v>0</v>
      </c>
      <c r="S153" s="7" t="inlineStr">
        <is>
          <t>個別</t>
        </is>
      </c>
      <c r="T153" s="7" t="inlineStr">
        <is>
          <t>藤原G</t>
        </is>
      </c>
      <c r="U153" s="7" t="inlineStr">
        <is>
          <t>既得確保</t>
        </is>
      </c>
      <c r="V153" s="7" t="n"/>
      <c r="W153" s="7" t="n"/>
    </row>
    <row r="154">
      <c r="A154" s="9" t="n">
        <v>566485</v>
      </c>
      <c r="B154" s="9" t="inlineStr">
        <is>
          <t>CRED Management Co., Ltd.</t>
        </is>
      </c>
      <c r="C154" s="10" t="n">
        <v>2</v>
      </c>
      <c r="D154" s="10" t="n">
        <v>68.11</v>
      </c>
      <c r="E154" s="10" t="n">
        <v>68.11</v>
      </c>
      <c r="F154" s="10" t="n">
        <v>0</v>
      </c>
      <c r="G154" s="10" t="n">
        <v>2</v>
      </c>
      <c r="H154" s="10" t="n">
        <v>71.31999999999999</v>
      </c>
      <c r="I154" s="10" t="n">
        <v>71.31999999999999</v>
      </c>
      <c r="J154" s="10" t="n">
        <v>0</v>
      </c>
      <c r="K154" s="10" t="n">
        <v>2</v>
      </c>
      <c r="L154" s="10" t="n">
        <v>70.16</v>
      </c>
      <c r="M154" s="10" t="n">
        <v>70.16</v>
      </c>
      <c r="N154" s="10" t="n">
        <v>0</v>
      </c>
      <c r="O154" s="10" t="n">
        <v>6</v>
      </c>
      <c r="P154" s="10" t="n">
        <v>209.59</v>
      </c>
      <c r="Q154" s="10" t="n">
        <v>209.59</v>
      </c>
      <c r="R154" s="10" t="n">
        <v>0</v>
      </c>
      <c r="S154" s="9" t="inlineStr">
        <is>
          <t>個別</t>
        </is>
      </c>
      <c r="T154" s="9" t="n">
        <v>0</v>
      </c>
      <c r="U154" s="9" t="inlineStr">
        <is>
          <t>アクティブ</t>
        </is>
      </c>
      <c r="V154" s="9" t="n"/>
      <c r="W154" s="9" t="n"/>
    </row>
    <row r="155">
      <c r="A155" s="7" t="n">
        <v>575711</v>
      </c>
      <c r="B155" s="7" t="inlineStr">
        <is>
          <t>Kanda, Shin</t>
        </is>
      </c>
      <c r="C155" s="8" t="n">
        <v>5</v>
      </c>
      <c r="D155" s="8" t="n">
        <v>51.44</v>
      </c>
      <c r="E155" s="8" t="n">
        <v>51.44</v>
      </c>
      <c r="F155" s="8" t="n">
        <v>0</v>
      </c>
      <c r="G155" s="8" t="n">
        <v>6</v>
      </c>
      <c r="H155" s="8" t="n">
        <v>69.27</v>
      </c>
      <c r="I155" s="8" t="n">
        <v>69.27</v>
      </c>
      <c r="J155" s="8" t="n">
        <v>0</v>
      </c>
      <c r="K155" s="8" t="n">
        <v>6</v>
      </c>
      <c r="L155" s="8" t="n">
        <v>85.62</v>
      </c>
      <c r="M155" s="8" t="n">
        <v>85.62</v>
      </c>
      <c r="N155" s="8" t="n">
        <v>0</v>
      </c>
      <c r="O155" s="8" t="n">
        <v>17</v>
      </c>
      <c r="P155" s="8" t="n">
        <v>206.32</v>
      </c>
      <c r="Q155" s="8" t="n">
        <v>206.32</v>
      </c>
      <c r="R155" s="8" t="n">
        <v>0</v>
      </c>
      <c r="S155" s="7" t="n">
        <v>0</v>
      </c>
      <c r="T155" s="7" t="n">
        <v>0</v>
      </c>
      <c r="U155" s="7" t="inlineStr">
        <is>
          <t>解除済</t>
        </is>
      </c>
      <c r="V155" s="7" t="n"/>
      <c r="W155" s="7" t="n"/>
    </row>
    <row r="156">
      <c r="A156" s="9" t="n">
        <v>568587</v>
      </c>
      <c r="B156" s="9" t="inlineStr">
        <is>
          <t>Kawashima, Daiki</t>
        </is>
      </c>
      <c r="C156" s="10" t="n">
        <v>3</v>
      </c>
      <c r="D156" s="10" t="n">
        <v>61.06</v>
      </c>
      <c r="E156" s="10" t="n">
        <v>30.53</v>
      </c>
      <c r="F156" s="10" t="n">
        <v>30.53</v>
      </c>
      <c r="G156" s="10" t="n">
        <v>3</v>
      </c>
      <c r="H156" s="10" t="n">
        <v>69.69</v>
      </c>
      <c r="I156" s="10" t="n">
        <v>34.84</v>
      </c>
      <c r="J156" s="10" t="n">
        <v>34.84</v>
      </c>
      <c r="K156" s="10" t="n">
        <v>3</v>
      </c>
      <c r="L156" s="10" t="n">
        <v>73.62</v>
      </c>
      <c r="M156" s="10" t="n">
        <v>36.81</v>
      </c>
      <c r="N156" s="10" t="n">
        <v>36.81</v>
      </c>
      <c r="O156" s="10" t="n">
        <v>9</v>
      </c>
      <c r="P156" s="10" t="n">
        <v>204.37</v>
      </c>
      <c r="Q156" s="10" t="n">
        <v>102.19</v>
      </c>
      <c r="R156" s="10" t="n">
        <v>102.19</v>
      </c>
      <c r="S156" s="9" t="inlineStr">
        <is>
          <t>1.道下G</t>
        </is>
      </c>
      <c r="T156" s="9" t="inlineStr">
        <is>
          <t>五十嵐G</t>
        </is>
      </c>
      <c r="U156" s="9" t="inlineStr">
        <is>
          <t>移籍</t>
        </is>
      </c>
      <c r="V156" s="9" t="n"/>
      <c r="W156" s="9" t="inlineStr">
        <is>
          <t>道下グループ・・・イントロデューサー分も、マネージャーフィー0.25%も道下さんに報告、Goo分は0.25%</t>
        </is>
      </c>
    </row>
    <row r="157">
      <c r="A157" s="7" t="n">
        <v>573200</v>
      </c>
      <c r="B157" s="7" t="inlineStr">
        <is>
          <t>CHARM Co., Ltd.</t>
        </is>
      </c>
      <c r="C157" s="8" t="n">
        <v>16</v>
      </c>
      <c r="D157" s="8" t="n">
        <v>126.87</v>
      </c>
      <c r="E157" s="8" t="n">
        <v>0.27</v>
      </c>
      <c r="F157" s="8" t="n">
        <v>0</v>
      </c>
      <c r="G157" s="8" t="n">
        <v>16</v>
      </c>
      <c r="H157" s="8" t="n">
        <v>138.19</v>
      </c>
      <c r="I157" s="8" t="n">
        <v>0.59</v>
      </c>
      <c r="J157" s="8" t="n">
        <v>0</v>
      </c>
      <c r="K157" s="8" t="n">
        <v>17</v>
      </c>
      <c r="L157" s="8" t="n">
        <v>137.6</v>
      </c>
      <c r="M157" s="8" t="n">
        <v>0</v>
      </c>
      <c r="N157" s="8" t="n">
        <v>0</v>
      </c>
      <c r="O157" s="8" t="n">
        <v>49</v>
      </c>
      <c r="P157" s="8" t="n">
        <v>402.67</v>
      </c>
      <c r="Q157" s="8" t="n">
        <v>0.86</v>
      </c>
      <c r="R157" s="8" t="n">
        <v>0</v>
      </c>
      <c r="S157" s="7" t="inlineStr">
        <is>
          <t>3.CHARM Co., Ltd.</t>
        </is>
      </c>
      <c r="T157" s="7" t="n">
        <v>0</v>
      </c>
      <c r="U157" s="7" t="inlineStr">
        <is>
          <t>既得確保</t>
        </is>
      </c>
      <c r="V157" s="7" t="n"/>
      <c r="W157" s="7" t="n"/>
    </row>
    <row r="158">
      <c r="A158" s="9" t="n">
        <v>568354</v>
      </c>
      <c r="B158" s="9" t="inlineStr">
        <is>
          <t>Cactus Co., Ltd.</t>
        </is>
      </c>
      <c r="C158" s="10" t="n">
        <v>15</v>
      </c>
      <c r="D158" s="10" t="n">
        <v>126.6</v>
      </c>
      <c r="E158" s="10" t="n">
        <v>126.6</v>
      </c>
      <c r="F158" s="10" t="n">
        <v>0</v>
      </c>
      <c r="G158" s="10" t="n">
        <v>15</v>
      </c>
      <c r="H158" s="10" t="n">
        <v>137.61</v>
      </c>
      <c r="I158" s="10" t="n">
        <v>137.61</v>
      </c>
      <c r="J158" s="10" t="n">
        <v>0</v>
      </c>
      <c r="K158" s="10" t="n">
        <v>17</v>
      </c>
      <c r="L158" s="10" t="n">
        <v>137.6</v>
      </c>
      <c r="M158" s="10" t="n">
        <v>137.6</v>
      </c>
      <c r="N158" s="10" t="n">
        <v>0</v>
      </c>
      <c r="O158" s="10" t="n">
        <v>47</v>
      </c>
      <c r="P158" s="10" t="n">
        <v>401.81</v>
      </c>
      <c r="Q158" s="10" t="n">
        <v>401.81</v>
      </c>
      <c r="R158" s="10" t="n">
        <v>0</v>
      </c>
      <c r="S158" s="9" t="n">
        <v>0</v>
      </c>
      <c r="T158" s="9" t="n">
        <v>0</v>
      </c>
      <c r="U158" s="9" t="inlineStr">
        <is>
          <t>解除済</t>
        </is>
      </c>
      <c r="V158" s="9" t="n"/>
      <c r="W158" s="9" t="n"/>
    </row>
    <row r="159">
      <c r="A159" s="7" t="n">
        <v>570153</v>
      </c>
      <c r="B159" s="7" t="inlineStr">
        <is>
          <t>Prosperity Assurance Inc.</t>
        </is>
      </c>
      <c r="C159" s="8" t="n">
        <v>3</v>
      </c>
      <c r="D159" s="8" t="n">
        <v>60.22</v>
      </c>
      <c r="E159" s="8" t="n">
        <v>60.22</v>
      </c>
      <c r="F159" s="8" t="n">
        <v>0</v>
      </c>
      <c r="G159" s="8" t="n">
        <v>3</v>
      </c>
      <c r="H159" s="8" t="n">
        <v>65.81999999999999</v>
      </c>
      <c r="I159" s="8" t="n">
        <v>65.81999999999999</v>
      </c>
      <c r="J159" s="8" t="n">
        <v>0</v>
      </c>
      <c r="K159" s="8" t="n">
        <v>4</v>
      </c>
      <c r="L159" s="8" t="n">
        <v>66.5</v>
      </c>
      <c r="M159" s="8" t="n">
        <v>66.5</v>
      </c>
      <c r="N159" s="8" t="n">
        <v>0</v>
      </c>
      <c r="O159" s="8" t="n">
        <v>10</v>
      </c>
      <c r="P159" s="8" t="n">
        <v>192.54</v>
      </c>
      <c r="Q159" s="8" t="n">
        <v>192.54</v>
      </c>
      <c r="R159" s="8" t="n">
        <v>0</v>
      </c>
      <c r="S159" s="7" t="inlineStr">
        <is>
          <t>1.BANK</t>
        </is>
      </c>
      <c r="T159" s="7" t="inlineStr">
        <is>
          <t>プロスペリティ</t>
        </is>
      </c>
      <c r="U159" s="7" t="inlineStr">
        <is>
          <t>アクティブ</t>
        </is>
      </c>
      <c r="V159" s="7" t="n"/>
      <c r="W159" s="7" t="n"/>
    </row>
    <row r="160">
      <c r="A160" s="9" t="n">
        <v>575414</v>
      </c>
      <c r="B160" s="9" t="inlineStr">
        <is>
          <t>Kaneko, Takayuki</t>
        </is>
      </c>
      <c r="C160" s="10" t="n">
        <v>6</v>
      </c>
      <c r="D160" s="10" t="n">
        <v>68.34999999999999</v>
      </c>
      <c r="E160" s="10" t="n">
        <v>34.18</v>
      </c>
      <c r="F160" s="10" t="n">
        <v>34.18</v>
      </c>
      <c r="G160" s="10" t="n">
        <v>6</v>
      </c>
      <c r="H160" s="10" t="n">
        <v>60.62</v>
      </c>
      <c r="I160" s="10" t="n">
        <v>30.31</v>
      </c>
      <c r="J160" s="10" t="n">
        <v>30.31</v>
      </c>
      <c r="K160" s="10" t="n">
        <v>5</v>
      </c>
      <c r="L160" s="10" t="n">
        <v>58.12</v>
      </c>
      <c r="M160" s="10" t="n">
        <v>29.06</v>
      </c>
      <c r="N160" s="10" t="n">
        <v>29.06</v>
      </c>
      <c r="O160" s="10" t="n">
        <v>17</v>
      </c>
      <c r="P160" s="10" t="n">
        <v>187.09</v>
      </c>
      <c r="Q160" s="10" t="n">
        <v>93.55</v>
      </c>
      <c r="R160" s="10" t="n">
        <v>93.55</v>
      </c>
      <c r="S160" s="9" t="inlineStr">
        <is>
          <t>1.道下G</t>
        </is>
      </c>
      <c r="T160" s="9" t="inlineStr">
        <is>
          <t>佐藤G</t>
        </is>
      </c>
      <c r="U160" s="9" t="inlineStr">
        <is>
          <t>移籍</t>
        </is>
      </c>
      <c r="V160" s="9" t="n"/>
      <c r="W160" s="9" t="inlineStr">
        <is>
          <t>道下グループ・・・イントロデューサー分も、マネージャーフィー0.25%も道下さんに報告、Goo分は0.25%</t>
        </is>
      </c>
    </row>
    <row r="161">
      <c r="A161" s="7" t="n">
        <v>569349</v>
      </c>
      <c r="B161" s="7" t="inlineStr">
        <is>
          <t>Fukushima, Takumi</t>
        </is>
      </c>
      <c r="C161" s="8" t="n">
        <v>13</v>
      </c>
      <c r="D161" s="8" t="n">
        <v>55.75</v>
      </c>
      <c r="E161" s="8" t="n">
        <v>55.75</v>
      </c>
      <c r="F161" s="8" t="n">
        <v>0</v>
      </c>
      <c r="G161" s="8" t="n">
        <v>13</v>
      </c>
      <c r="H161" s="8" t="n">
        <v>63.98</v>
      </c>
      <c r="I161" s="8" t="n">
        <v>63.98</v>
      </c>
      <c r="J161" s="8" t="n">
        <v>0</v>
      </c>
      <c r="K161" s="8" t="n">
        <v>13</v>
      </c>
      <c r="L161" s="8" t="n">
        <v>66.11</v>
      </c>
      <c r="M161" s="8" t="n">
        <v>66.11</v>
      </c>
      <c r="N161" s="8" t="n">
        <v>0</v>
      </c>
      <c r="O161" s="8" t="n">
        <v>39</v>
      </c>
      <c r="P161" s="8" t="n">
        <v>185.84</v>
      </c>
      <c r="Q161" s="8" t="n">
        <v>185.84</v>
      </c>
      <c r="R161" s="8" t="n">
        <v>0</v>
      </c>
      <c r="S161" s="7" t="inlineStr">
        <is>
          <t>3.CHARM Co., Ltd.</t>
        </is>
      </c>
      <c r="T161" s="7" t="n">
        <v>0</v>
      </c>
      <c r="U161" s="7" t="inlineStr">
        <is>
          <t>既得確保</t>
        </is>
      </c>
      <c r="V161" s="7" t="n"/>
      <c r="W161" s="7" t="n"/>
    </row>
    <row r="162">
      <c r="A162" s="9" t="n">
        <v>563583</v>
      </c>
      <c r="B162" s="9" t="inlineStr">
        <is>
          <t>Kawanami, Kazuaki</t>
        </is>
      </c>
      <c r="C162" s="10" t="n">
        <v>7</v>
      </c>
      <c r="D162" s="10" t="n">
        <v>55.79</v>
      </c>
      <c r="E162" s="10" t="n">
        <v>27.89</v>
      </c>
      <c r="F162" s="10" t="n">
        <v>27.89</v>
      </c>
      <c r="G162" s="10" t="n">
        <v>7</v>
      </c>
      <c r="H162" s="10" t="n">
        <v>61.44</v>
      </c>
      <c r="I162" s="10" t="n">
        <v>30.72</v>
      </c>
      <c r="J162" s="10" t="n">
        <v>30.72</v>
      </c>
      <c r="K162" s="10" t="n">
        <v>6</v>
      </c>
      <c r="L162" s="10" t="n">
        <v>63.2</v>
      </c>
      <c r="M162" s="10" t="n">
        <v>31.6</v>
      </c>
      <c r="N162" s="10" t="n">
        <v>31.6</v>
      </c>
      <c r="O162" s="10" t="n">
        <v>20</v>
      </c>
      <c r="P162" s="10" t="n">
        <v>180.44</v>
      </c>
      <c r="Q162" s="10" t="n">
        <v>90.22</v>
      </c>
      <c r="R162" s="10" t="n">
        <v>90.22</v>
      </c>
      <c r="S162" s="9" t="inlineStr">
        <is>
          <t>1.道下G</t>
        </is>
      </c>
      <c r="T162" s="9" t="inlineStr">
        <is>
          <t>杉本G</t>
        </is>
      </c>
      <c r="U162" s="9" t="inlineStr">
        <is>
          <t>移籍</t>
        </is>
      </c>
      <c r="V162" s="9" t="n"/>
      <c r="W162" s="9" t="inlineStr">
        <is>
          <t>道下グループ・・・イントロデューサー分も、マネージャーフィー0.25%も道下さんに報告、Goo分は0.25%</t>
        </is>
      </c>
    </row>
    <row r="163">
      <c r="A163" s="7" t="n">
        <v>569889</v>
      </c>
      <c r="B163" s="7" t="inlineStr">
        <is>
          <t>Fukai, Sho</t>
        </is>
      </c>
      <c r="C163" s="8" t="n">
        <v>7</v>
      </c>
      <c r="D163" s="8" t="n">
        <v>61.86</v>
      </c>
      <c r="E163" s="8" t="n">
        <v>61.86</v>
      </c>
      <c r="F163" s="8" t="n">
        <v>0</v>
      </c>
      <c r="G163" s="8" t="n">
        <v>6</v>
      </c>
      <c r="H163" s="8" t="n">
        <v>60.44</v>
      </c>
      <c r="I163" s="8" t="n">
        <v>60.44</v>
      </c>
      <c r="J163" s="8" t="n">
        <v>0</v>
      </c>
      <c r="K163" s="8" t="n">
        <v>5</v>
      </c>
      <c r="L163" s="8" t="n">
        <v>54.58</v>
      </c>
      <c r="M163" s="8" t="n">
        <v>54.58</v>
      </c>
      <c r="N163" s="8" t="n">
        <v>0</v>
      </c>
      <c r="O163" s="8" t="n">
        <v>18</v>
      </c>
      <c r="P163" s="8" t="n">
        <v>176.88</v>
      </c>
      <c r="Q163" s="8" t="n">
        <v>176.88</v>
      </c>
      <c r="R163" s="8" t="n">
        <v>0</v>
      </c>
      <c r="S163" s="7" t="inlineStr">
        <is>
          <t>7.長谷川G</t>
        </is>
      </c>
      <c r="T163" s="7" t="n">
        <v>0</v>
      </c>
      <c r="U163" s="7" t="inlineStr">
        <is>
          <t>既得確保</t>
        </is>
      </c>
      <c r="V163" s="7" t="n"/>
      <c r="W163" s="7" t="n"/>
    </row>
    <row r="164">
      <c r="A164" s="9" t="n">
        <v>570285</v>
      </c>
      <c r="B164" s="9" t="inlineStr">
        <is>
          <t>BRDG. LLC</t>
        </is>
      </c>
      <c r="C164" s="10" t="n">
        <v>7</v>
      </c>
      <c r="D164" s="10" t="n">
        <v>56.22</v>
      </c>
      <c r="E164" s="10" t="n">
        <v>56.22</v>
      </c>
      <c r="F164" s="10" t="n">
        <v>0</v>
      </c>
      <c r="G164" s="10" t="n">
        <v>6</v>
      </c>
      <c r="H164" s="10" t="n">
        <v>56.33</v>
      </c>
      <c r="I164" s="10" t="n">
        <v>56.33</v>
      </c>
      <c r="J164" s="10" t="n">
        <v>0</v>
      </c>
      <c r="K164" s="10" t="n">
        <v>6</v>
      </c>
      <c r="L164" s="10" t="n">
        <v>56.84</v>
      </c>
      <c r="M164" s="10" t="n">
        <v>56.84</v>
      </c>
      <c r="N164" s="10" t="n">
        <v>0</v>
      </c>
      <c r="O164" s="10" t="n">
        <v>19</v>
      </c>
      <c r="P164" s="10" t="n">
        <v>169.39</v>
      </c>
      <c r="Q164" s="10" t="n">
        <v>169.39</v>
      </c>
      <c r="R164" s="10" t="n">
        <v>0</v>
      </c>
      <c r="S164" s="9" t="inlineStr">
        <is>
          <t>3.CHARM Co., Ltd.</t>
        </is>
      </c>
      <c r="T164" s="9" t="n">
        <v>0</v>
      </c>
      <c r="U164" s="9" t="inlineStr">
        <is>
          <t>既得確保</t>
        </is>
      </c>
      <c r="V164" s="9" t="n"/>
      <c r="W164" s="9" t="n"/>
    </row>
    <row r="165">
      <c r="A165" s="7" t="n">
        <v>513770</v>
      </c>
      <c r="B165" s="7" t="inlineStr">
        <is>
          <t>Ando, Hiromasa</t>
        </is>
      </c>
      <c r="C165" s="8" t="n">
        <v>2</v>
      </c>
      <c r="D165" s="8" t="n">
        <v>65.81999999999999</v>
      </c>
      <c r="E165" s="8" t="n">
        <v>65.81999999999999</v>
      </c>
      <c r="F165" s="8" t="n">
        <v>0</v>
      </c>
      <c r="G165" s="8" t="n">
        <v>2</v>
      </c>
      <c r="H165" s="8" t="n">
        <v>57.36</v>
      </c>
      <c r="I165" s="8" t="n">
        <v>57.36</v>
      </c>
      <c r="J165" s="8" t="n">
        <v>0</v>
      </c>
      <c r="K165" s="8" t="n">
        <v>2</v>
      </c>
      <c r="L165" s="8" t="n">
        <v>44.58</v>
      </c>
      <c r="M165" s="8" t="n">
        <v>44.58</v>
      </c>
      <c r="N165" s="8" t="n">
        <v>0</v>
      </c>
      <c r="O165" s="8" t="n">
        <v>6</v>
      </c>
      <c r="P165" s="8" t="n">
        <v>167.76</v>
      </c>
      <c r="Q165" s="8" t="n">
        <v>167.76</v>
      </c>
      <c r="R165" s="8" t="n">
        <v>0</v>
      </c>
      <c r="S165" s="7" t="n">
        <v>0</v>
      </c>
      <c r="T165" s="7" t="n">
        <v>0</v>
      </c>
      <c r="U165" s="7" t="inlineStr">
        <is>
          <t>解除済</t>
        </is>
      </c>
      <c r="V165" s="7" t="n"/>
      <c r="W165" s="7" t="n"/>
    </row>
    <row r="166">
      <c r="A166" s="9" t="n">
        <v>572935</v>
      </c>
      <c r="B166" s="9" t="inlineStr">
        <is>
          <t>Inaba, Takumi</t>
        </is>
      </c>
      <c r="C166" s="10" t="n">
        <v>7</v>
      </c>
      <c r="D166" s="10" t="n">
        <v>44.63</v>
      </c>
      <c r="E166" s="10" t="n">
        <v>22.32</v>
      </c>
      <c r="F166" s="10" t="n">
        <v>22.32</v>
      </c>
      <c r="G166" s="10" t="n">
        <v>7</v>
      </c>
      <c r="H166" s="10" t="n">
        <v>55.96</v>
      </c>
      <c r="I166" s="10" t="n">
        <v>27.98</v>
      </c>
      <c r="J166" s="10" t="n">
        <v>27.98</v>
      </c>
      <c r="K166" s="10" t="n">
        <v>7</v>
      </c>
      <c r="L166" s="10" t="n">
        <v>66.31</v>
      </c>
      <c r="M166" s="10" t="n">
        <v>33.16</v>
      </c>
      <c r="N166" s="10" t="n">
        <v>33.16</v>
      </c>
      <c r="O166" s="10" t="n">
        <v>21</v>
      </c>
      <c r="P166" s="10" t="n">
        <v>166.9</v>
      </c>
      <c r="Q166" s="10" t="n">
        <v>83.45</v>
      </c>
      <c r="R166" s="10" t="n">
        <v>83.45</v>
      </c>
      <c r="S166" s="9" t="inlineStr">
        <is>
          <t>1.道下G</t>
        </is>
      </c>
      <c r="T166" s="9" t="inlineStr">
        <is>
          <t>小宮山G</t>
        </is>
      </c>
      <c r="U166" s="9" t="inlineStr">
        <is>
          <t>移籍</t>
        </is>
      </c>
      <c r="V166" s="9" t="n"/>
      <c r="W166" s="9" t="inlineStr">
        <is>
          <t>道下グループ・・・イントロデューサー分も、マネージャーフィー0.25%も道下さんに報告、Goo分は0.25%</t>
        </is>
      </c>
    </row>
    <row r="167">
      <c r="A167" s="7" t="n">
        <v>571923</v>
      </c>
      <c r="B167" s="7" t="inlineStr">
        <is>
          <t>Ireve Ltd</t>
        </is>
      </c>
      <c r="C167" s="8" t="n">
        <v>1</v>
      </c>
      <c r="D167" s="8" t="n">
        <v>52.23</v>
      </c>
      <c r="E167" s="8" t="n">
        <v>52.23</v>
      </c>
      <c r="F167" s="8" t="n">
        <v>0</v>
      </c>
      <c r="G167" s="8" t="n">
        <v>1</v>
      </c>
      <c r="H167" s="8" t="n">
        <v>53.83</v>
      </c>
      <c r="I167" s="8" t="n">
        <v>53.83</v>
      </c>
      <c r="J167" s="8" t="n">
        <v>0</v>
      </c>
      <c r="K167" s="8" t="n">
        <v>1</v>
      </c>
      <c r="L167" s="8" t="n">
        <v>53.8</v>
      </c>
      <c r="M167" s="8" t="n">
        <v>53.8</v>
      </c>
      <c r="N167" s="8" t="n">
        <v>0</v>
      </c>
      <c r="O167" s="8" t="n">
        <v>3</v>
      </c>
      <c r="P167" s="8" t="n">
        <v>159.86</v>
      </c>
      <c r="Q167" s="8" t="n">
        <v>159.86</v>
      </c>
      <c r="R167" s="8" t="n">
        <v>0</v>
      </c>
      <c r="S167" s="7" t="inlineStr">
        <is>
          <t>個別</t>
        </is>
      </c>
      <c r="T167" s="7" t="n">
        <v>0</v>
      </c>
      <c r="U167" s="7" t="inlineStr">
        <is>
          <t>アクティブ</t>
        </is>
      </c>
      <c r="V167" s="7" t="n"/>
      <c r="W167" s="7" t="n"/>
    </row>
    <row r="168">
      <c r="A168" s="9" t="n">
        <v>571756</v>
      </c>
      <c r="B168" s="9" t="inlineStr">
        <is>
          <t>Uchibayashi, Takeo</t>
        </is>
      </c>
      <c r="C168" s="10" t="n">
        <v>10</v>
      </c>
      <c r="D168" s="10" t="n">
        <v>32.59</v>
      </c>
      <c r="E168" s="10" t="n">
        <v>16.29</v>
      </c>
      <c r="F168" s="10" t="n">
        <v>16.29</v>
      </c>
      <c r="G168" s="10" t="n">
        <v>14</v>
      </c>
      <c r="H168" s="10" t="n">
        <v>50.69</v>
      </c>
      <c r="I168" s="10" t="n">
        <v>25.35</v>
      </c>
      <c r="J168" s="10" t="n">
        <v>25.35</v>
      </c>
      <c r="K168" s="10" t="n">
        <v>17</v>
      </c>
      <c r="L168" s="10" t="n">
        <v>72.11</v>
      </c>
      <c r="M168" s="10" t="n">
        <v>36.06</v>
      </c>
      <c r="N168" s="10" t="n">
        <v>36.06</v>
      </c>
      <c r="O168" s="10" t="n">
        <v>41</v>
      </c>
      <c r="P168" s="10" t="n">
        <v>155.4</v>
      </c>
      <c r="Q168" s="10" t="n">
        <v>77.7</v>
      </c>
      <c r="R168" s="10" t="n">
        <v>77.7</v>
      </c>
      <c r="S168" s="9" t="inlineStr">
        <is>
          <t>12.脇坂G</t>
        </is>
      </c>
      <c r="T168" s="9" t="inlineStr">
        <is>
          <t>Nu-Design.LabG</t>
        </is>
      </c>
      <c r="U168" s="9" t="inlineStr">
        <is>
          <t>アクティブ</t>
        </is>
      </c>
      <c r="V168" s="9" t="n"/>
      <c r="W168" s="9" t="inlineStr">
        <is>
          <t>脇坂グループ・・・イントロデューサー分も、マネージャーフィー0.25%も脇坂さんに報告、Goo分は0.25%</t>
        </is>
      </c>
    </row>
    <row r="169">
      <c r="A169" s="7" t="n">
        <v>570704</v>
      </c>
      <c r="B169" s="7" t="inlineStr">
        <is>
          <t>Nakamoto, Tomiharu</t>
        </is>
      </c>
      <c r="C169" s="8" t="n">
        <v>7</v>
      </c>
      <c r="D169" s="8" t="n">
        <v>113.13</v>
      </c>
      <c r="E169" s="8" t="n">
        <v>56.57</v>
      </c>
      <c r="F169" s="8" t="n">
        <v>56.57</v>
      </c>
      <c r="G169" s="8" t="n">
        <v>2</v>
      </c>
      <c r="H169" s="8" t="n">
        <v>17.12</v>
      </c>
      <c r="I169" s="8" t="n">
        <v>8.56</v>
      </c>
      <c r="J169" s="8" t="n">
        <v>8.56</v>
      </c>
      <c r="K169" s="8" t="n">
        <v>2</v>
      </c>
      <c r="L169" s="8" t="n">
        <v>18.03</v>
      </c>
      <c r="M169" s="8" t="n">
        <v>9.02</v>
      </c>
      <c r="N169" s="8" t="n">
        <v>9.02</v>
      </c>
      <c r="O169" s="8" t="n">
        <v>11</v>
      </c>
      <c r="P169" s="8" t="n">
        <v>148.29</v>
      </c>
      <c r="Q169" s="8" t="n">
        <v>74.14</v>
      </c>
      <c r="R169" s="8" t="n">
        <v>74.14</v>
      </c>
      <c r="S169" s="7" t="inlineStr">
        <is>
          <t>12.脇坂G</t>
        </is>
      </c>
      <c r="T169" s="7" t="inlineStr">
        <is>
          <t>4 Capital 傘下</t>
        </is>
      </c>
      <c r="U169" s="7" t="inlineStr">
        <is>
          <t>既得確保</t>
        </is>
      </c>
      <c r="V169" s="7" t="n"/>
      <c r="W169" s="7" t="inlineStr">
        <is>
          <t>脇坂グループ・・・イントロデューサー分も、マネージャーフィー0.25%も脇坂さんに報告、Goo分は0.25%</t>
        </is>
      </c>
    </row>
    <row r="170">
      <c r="A170" s="9" t="n">
        <v>574987</v>
      </c>
      <c r="B170" s="9" t="inlineStr">
        <is>
          <t>Satake, Yasuhisa</t>
        </is>
      </c>
      <c r="C170" s="10" t="n">
        <v>8</v>
      </c>
      <c r="D170" s="10" t="n">
        <v>36.57</v>
      </c>
      <c r="E170" s="10" t="n">
        <v>36.57</v>
      </c>
      <c r="F170" s="10" t="n">
        <v>0</v>
      </c>
      <c r="G170" s="10" t="n">
        <v>9</v>
      </c>
      <c r="H170" s="10" t="n">
        <v>47.98</v>
      </c>
      <c r="I170" s="10" t="n">
        <v>47.98</v>
      </c>
      <c r="J170" s="10" t="n">
        <v>0</v>
      </c>
      <c r="K170" s="10" t="n">
        <v>11</v>
      </c>
      <c r="L170" s="10" t="n">
        <v>63.2</v>
      </c>
      <c r="M170" s="10" t="n">
        <v>63.2</v>
      </c>
      <c r="N170" s="10" t="n">
        <v>0</v>
      </c>
      <c r="O170" s="10" t="n">
        <v>28</v>
      </c>
      <c r="P170" s="10" t="n">
        <v>147.74</v>
      </c>
      <c r="Q170" s="10" t="n">
        <v>147.74</v>
      </c>
      <c r="R170" s="10" t="n">
        <v>0</v>
      </c>
      <c r="S170" s="9" t="n">
        <v>0</v>
      </c>
      <c r="T170" s="9" t="n">
        <v>0</v>
      </c>
      <c r="U170" s="9" t="inlineStr">
        <is>
          <t>解除済</t>
        </is>
      </c>
      <c r="V170" s="9" t="n"/>
      <c r="W170" s="9" t="n"/>
    </row>
    <row r="171">
      <c r="A171" s="7" t="n">
        <v>563483</v>
      </c>
      <c r="B171" s="7" t="inlineStr">
        <is>
          <t>Kameoka, Yuka</t>
        </is>
      </c>
      <c r="C171" s="8" t="n">
        <v>2</v>
      </c>
      <c r="D171" s="8" t="n">
        <v>91.08</v>
      </c>
      <c r="E171" s="8" t="n">
        <v>91.08</v>
      </c>
      <c r="F171" s="8" t="n">
        <v>0</v>
      </c>
      <c r="G171" s="8" t="n">
        <v>1</v>
      </c>
      <c r="H171" s="8" t="n">
        <v>28.79</v>
      </c>
      <c r="I171" s="8" t="n">
        <v>28.79</v>
      </c>
      <c r="J171" s="8" t="n">
        <v>0</v>
      </c>
      <c r="K171" s="8" t="n">
        <v>1</v>
      </c>
      <c r="L171" s="8" t="n">
        <v>27.4</v>
      </c>
      <c r="M171" s="8" t="n">
        <v>27.4</v>
      </c>
      <c r="N171" s="8" t="n">
        <v>0</v>
      </c>
      <c r="O171" s="8" t="n">
        <v>4</v>
      </c>
      <c r="P171" s="8" t="n">
        <v>147.27</v>
      </c>
      <c r="Q171" s="8" t="n">
        <v>147.27</v>
      </c>
      <c r="R171" s="8" t="n">
        <v>0</v>
      </c>
      <c r="S171" s="7" t="inlineStr">
        <is>
          <t>個別</t>
        </is>
      </c>
      <c r="T171" s="7" t="n">
        <v>0</v>
      </c>
      <c r="U171" s="7" t="inlineStr">
        <is>
          <t>既得確保</t>
        </is>
      </c>
      <c r="V171" s="7" t="n"/>
      <c r="W171" s="7" t="n"/>
    </row>
    <row r="172">
      <c r="A172" s="9" t="n">
        <v>560326</v>
      </c>
      <c r="B172" s="9" t="inlineStr">
        <is>
          <t>Ishii, Takuma</t>
        </is>
      </c>
      <c r="C172" s="10" t="n">
        <v>4</v>
      </c>
      <c r="D172" s="10" t="n">
        <v>51.97</v>
      </c>
      <c r="E172" s="10" t="n">
        <v>51.97</v>
      </c>
      <c r="F172" s="10" t="n">
        <v>0</v>
      </c>
      <c r="G172" s="10" t="n">
        <v>4</v>
      </c>
      <c r="H172" s="10" t="n">
        <v>49.73</v>
      </c>
      <c r="I172" s="10" t="n">
        <v>49.73</v>
      </c>
      <c r="J172" s="10" t="n">
        <v>0</v>
      </c>
      <c r="K172" s="10" t="n">
        <v>4</v>
      </c>
      <c r="L172" s="10" t="n">
        <v>44.3</v>
      </c>
      <c r="M172" s="10" t="n">
        <v>44.3</v>
      </c>
      <c r="N172" s="10" t="n">
        <v>0</v>
      </c>
      <c r="O172" s="10" t="n">
        <v>12</v>
      </c>
      <c r="P172" s="10" t="n">
        <v>146</v>
      </c>
      <c r="Q172" s="10" t="n">
        <v>146</v>
      </c>
      <c r="R172" s="10" t="n">
        <v>0</v>
      </c>
      <c r="S172" s="9" t="inlineStr">
        <is>
          <t>個別</t>
        </is>
      </c>
      <c r="T172" s="9" t="n">
        <v>0</v>
      </c>
      <c r="U172" s="9" t="inlineStr">
        <is>
          <t>既得確保</t>
        </is>
      </c>
      <c r="V172" s="9" t="n"/>
      <c r="W172" s="9" t="n"/>
    </row>
    <row r="173">
      <c r="A173" s="7" t="n">
        <v>570885</v>
      </c>
      <c r="B173" s="7" t="inlineStr">
        <is>
          <t>Mori, Takashi</t>
        </is>
      </c>
      <c r="C173" s="8" t="n">
        <v>5</v>
      </c>
      <c r="D173" s="8" t="n">
        <v>42.72</v>
      </c>
      <c r="E173" s="8" t="n">
        <v>21.36</v>
      </c>
      <c r="F173" s="8" t="n">
        <v>21.36</v>
      </c>
      <c r="G173" s="8" t="n">
        <v>4</v>
      </c>
      <c r="H173" s="8" t="n">
        <v>47.16</v>
      </c>
      <c r="I173" s="8" t="n">
        <v>23.58</v>
      </c>
      <c r="J173" s="8" t="n">
        <v>23.58</v>
      </c>
      <c r="K173" s="8" t="n">
        <v>4</v>
      </c>
      <c r="L173" s="8" t="n">
        <v>52.62</v>
      </c>
      <c r="M173" s="8" t="n">
        <v>26.31</v>
      </c>
      <c r="N173" s="8" t="n">
        <v>26.31</v>
      </c>
      <c r="O173" s="8" t="n">
        <v>13</v>
      </c>
      <c r="P173" s="8" t="n">
        <v>142.49</v>
      </c>
      <c r="Q173" s="8" t="n">
        <v>71.25</v>
      </c>
      <c r="R173" s="8" t="n">
        <v>71.25</v>
      </c>
      <c r="S173" s="7" t="inlineStr">
        <is>
          <t>1.道下G</t>
        </is>
      </c>
      <c r="T173" s="7" t="inlineStr">
        <is>
          <t>小宮山G</t>
        </is>
      </c>
      <c r="U173" s="7" t="inlineStr">
        <is>
          <t>移籍</t>
        </is>
      </c>
      <c r="V173" s="7" t="n"/>
      <c r="W173" s="7" t="inlineStr">
        <is>
          <t>道下グループ・・・イントロデューサー分も、マネージャーフィー0.25%も道下さんに報告、Goo分は0.25%</t>
        </is>
      </c>
    </row>
    <row r="174">
      <c r="A174" s="9" t="n">
        <v>564239</v>
      </c>
      <c r="B174" s="9" t="inlineStr">
        <is>
          <t>Oka, Keishiro</t>
        </is>
      </c>
      <c r="C174" s="10" t="n">
        <v>4</v>
      </c>
      <c r="D174" s="10" t="n">
        <v>47.99</v>
      </c>
      <c r="E174" s="10" t="n">
        <v>47.99</v>
      </c>
      <c r="F174" s="10" t="n">
        <v>0</v>
      </c>
      <c r="G174" s="10" t="n">
        <v>4</v>
      </c>
      <c r="H174" s="10" t="n">
        <v>48.58</v>
      </c>
      <c r="I174" s="10" t="n">
        <v>48.58</v>
      </c>
      <c r="J174" s="10" t="n">
        <v>0</v>
      </c>
      <c r="K174" s="10" t="n">
        <v>4</v>
      </c>
      <c r="L174" s="10" t="n">
        <v>41.08</v>
      </c>
      <c r="M174" s="10" t="n">
        <v>41.08</v>
      </c>
      <c r="N174" s="10" t="n">
        <v>0</v>
      </c>
      <c r="O174" s="10" t="n">
        <v>12</v>
      </c>
      <c r="P174" s="10" t="n">
        <v>137.64</v>
      </c>
      <c r="Q174" s="10" t="n">
        <v>137.64</v>
      </c>
      <c r="R174" s="10" t="n">
        <v>0</v>
      </c>
      <c r="S174" s="9" t="inlineStr">
        <is>
          <t>個別</t>
        </is>
      </c>
      <c r="T174" s="9" t="n">
        <v>0</v>
      </c>
      <c r="U174" s="9" t="inlineStr">
        <is>
          <t>既得確保</t>
        </is>
      </c>
      <c r="V174" s="9" t="n"/>
      <c r="W174" s="9" t="n"/>
    </row>
    <row r="175">
      <c r="A175" s="7" t="n">
        <v>573328</v>
      </c>
      <c r="B175" s="7" t="inlineStr">
        <is>
          <t>Sasada, Maiko</t>
        </is>
      </c>
      <c r="C175" s="8" t="n">
        <v>5</v>
      </c>
      <c r="D175" s="8" t="n">
        <v>44.06</v>
      </c>
      <c r="E175" s="8" t="n">
        <v>44.06</v>
      </c>
      <c r="F175" s="8" t="n">
        <v>0</v>
      </c>
      <c r="G175" s="8" t="n">
        <v>4</v>
      </c>
      <c r="H175" s="8" t="n">
        <v>45.58</v>
      </c>
      <c r="I175" s="8" t="n">
        <v>45.58</v>
      </c>
      <c r="J175" s="8" t="n">
        <v>0</v>
      </c>
      <c r="K175" s="8" t="n">
        <v>4</v>
      </c>
      <c r="L175" s="8" t="n">
        <v>47.64</v>
      </c>
      <c r="M175" s="8" t="n">
        <v>47.64</v>
      </c>
      <c r="N175" s="8" t="n">
        <v>0</v>
      </c>
      <c r="O175" s="8" t="n">
        <v>13</v>
      </c>
      <c r="P175" s="8" t="n">
        <v>137.28</v>
      </c>
      <c r="Q175" s="8" t="n">
        <v>137.28</v>
      </c>
      <c r="R175" s="8" t="n">
        <v>0</v>
      </c>
      <c r="S175" s="7" t="inlineStr">
        <is>
          <t>7.長谷川G</t>
        </is>
      </c>
      <c r="T175" s="7" t="n">
        <v>0</v>
      </c>
      <c r="U175" s="7" t="inlineStr">
        <is>
          <t>アクティブ</t>
        </is>
      </c>
      <c r="V175" s="7" t="n"/>
      <c r="W175" s="7" t="n"/>
    </row>
    <row r="176">
      <c r="A176" s="9" t="n">
        <v>569745</v>
      </c>
      <c r="B176" s="9" t="inlineStr">
        <is>
          <t>Sakurai, Kota</t>
        </is>
      </c>
      <c r="C176" s="10" t="n">
        <v>4</v>
      </c>
      <c r="D176" s="10" t="n">
        <v>69.09</v>
      </c>
      <c r="E176" s="10" t="n">
        <v>69.09</v>
      </c>
      <c r="F176" s="10" t="n">
        <v>0</v>
      </c>
      <c r="G176" s="10" t="n">
        <v>2</v>
      </c>
      <c r="H176" s="10" t="n">
        <v>29.16</v>
      </c>
      <c r="I176" s="10" t="n">
        <v>29.16</v>
      </c>
      <c r="J176" s="10" t="n">
        <v>0</v>
      </c>
      <c r="K176" s="10" t="n">
        <v>2</v>
      </c>
      <c r="L176" s="10" t="n">
        <v>29.84</v>
      </c>
      <c r="M176" s="10" t="n">
        <v>29.84</v>
      </c>
      <c r="N176" s="10" t="n">
        <v>0</v>
      </c>
      <c r="O176" s="10" t="n">
        <v>8</v>
      </c>
      <c r="P176" s="10" t="n">
        <v>128.09</v>
      </c>
      <c r="Q176" s="10" t="n">
        <v>128.09</v>
      </c>
      <c r="R176" s="10" t="n">
        <v>0</v>
      </c>
      <c r="S176" s="9" t="inlineStr">
        <is>
          <t>個別</t>
        </is>
      </c>
      <c r="T176" s="9" t="n">
        <v>0</v>
      </c>
      <c r="U176" s="9" t="inlineStr">
        <is>
          <t>既得確保</t>
        </is>
      </c>
      <c r="V176" s="9" t="n"/>
      <c r="W176" s="9" t="n"/>
    </row>
    <row r="177">
      <c r="A177" s="7" t="n">
        <v>574814</v>
      </c>
      <c r="B177" s="7" t="inlineStr">
        <is>
          <t>Kurita, Toshio</t>
        </is>
      </c>
      <c r="C177" s="8" t="n">
        <v>2</v>
      </c>
      <c r="D177" s="8" t="n">
        <v>47.39</v>
      </c>
      <c r="E177" s="8" t="n">
        <v>47.39</v>
      </c>
      <c r="F177" s="8" t="n">
        <v>0</v>
      </c>
      <c r="G177" s="8" t="n">
        <v>2</v>
      </c>
      <c r="H177" s="8" t="n">
        <v>43.08</v>
      </c>
      <c r="I177" s="8" t="n">
        <v>43.08</v>
      </c>
      <c r="J177" s="8" t="n">
        <v>0</v>
      </c>
      <c r="K177" s="8" t="n">
        <v>2</v>
      </c>
      <c r="L177" s="8" t="n">
        <v>34.36</v>
      </c>
      <c r="M177" s="8" t="n">
        <v>34.36</v>
      </c>
      <c r="N177" s="8" t="n">
        <v>0</v>
      </c>
      <c r="O177" s="8" t="n">
        <v>6</v>
      </c>
      <c r="P177" s="8" t="n">
        <v>124.83</v>
      </c>
      <c r="Q177" s="8" t="n">
        <v>124.83</v>
      </c>
      <c r="R177" s="8" t="n">
        <v>0</v>
      </c>
      <c r="S177" s="7" t="inlineStr">
        <is>
          <t>個別</t>
        </is>
      </c>
      <c r="T177" s="7" t="inlineStr">
        <is>
          <t>児玉G</t>
        </is>
      </c>
      <c r="U177" s="7" t="inlineStr">
        <is>
          <t>アクティブ</t>
        </is>
      </c>
      <c r="V177" s="7" t="n"/>
      <c r="W177" s="7" t="n"/>
    </row>
    <row r="178">
      <c r="A178" s="9" t="n">
        <v>568586</v>
      </c>
      <c r="B178" s="9" t="inlineStr">
        <is>
          <t>Riswell LLC</t>
        </is>
      </c>
      <c r="C178" s="10" t="n">
        <v>10</v>
      </c>
      <c r="D178" s="10" t="n">
        <v>36.72</v>
      </c>
      <c r="E178" s="10" t="n">
        <v>31.59</v>
      </c>
      <c r="F178" s="10" t="n">
        <v>0</v>
      </c>
      <c r="G178" s="10" t="n">
        <v>10</v>
      </c>
      <c r="H178" s="10" t="n">
        <v>44.3</v>
      </c>
      <c r="I178" s="10" t="n">
        <v>38.23</v>
      </c>
      <c r="J178" s="10" t="n">
        <v>0</v>
      </c>
      <c r="K178" s="10" t="n">
        <v>10</v>
      </c>
      <c r="L178" s="10" t="n">
        <v>49.93</v>
      </c>
      <c r="M178" s="10" t="n">
        <v>43.19</v>
      </c>
      <c r="N178" s="10" t="n">
        <v>0</v>
      </c>
      <c r="O178" s="10" t="n">
        <v>30</v>
      </c>
      <c r="P178" s="10" t="n">
        <v>130.96</v>
      </c>
      <c r="Q178" s="10" t="n">
        <v>113.01</v>
      </c>
      <c r="R178" s="10" t="n">
        <v>0</v>
      </c>
      <c r="S178" s="9" t="inlineStr">
        <is>
          <t>2.旧川村G (Gift)</t>
        </is>
      </c>
      <c r="T178" s="9" t="n">
        <v>0</v>
      </c>
      <c r="U178" s="9" t="inlineStr">
        <is>
          <t>アクティブ</t>
        </is>
      </c>
      <c r="V178" s="9" t="n"/>
      <c r="W178" s="9" t="n"/>
    </row>
    <row r="179">
      <c r="A179" s="7" t="n">
        <v>570836</v>
      </c>
      <c r="B179" s="7" t="inlineStr">
        <is>
          <t>Yoshida, Hikari</t>
        </is>
      </c>
      <c r="C179" s="8" t="n">
        <v>3</v>
      </c>
      <c r="D179" s="8" t="n">
        <v>36.1</v>
      </c>
      <c r="E179" s="8" t="n">
        <v>18.05</v>
      </c>
      <c r="F179" s="8" t="n">
        <v>18.05</v>
      </c>
      <c r="G179" s="8" t="n">
        <v>3</v>
      </c>
      <c r="H179" s="8" t="n">
        <v>40.82</v>
      </c>
      <c r="I179" s="8" t="n">
        <v>20.41</v>
      </c>
      <c r="J179" s="8" t="n">
        <v>20.41</v>
      </c>
      <c r="K179" s="8" t="n">
        <v>3</v>
      </c>
      <c r="L179" s="8" t="n">
        <v>44.11</v>
      </c>
      <c r="M179" s="8" t="n">
        <v>22.06</v>
      </c>
      <c r="N179" s="8" t="n">
        <v>22.06</v>
      </c>
      <c r="O179" s="8" t="n">
        <v>9</v>
      </c>
      <c r="P179" s="8" t="n">
        <v>121.03</v>
      </c>
      <c r="Q179" s="8" t="n">
        <v>60.52</v>
      </c>
      <c r="R179" s="8" t="n">
        <v>60.52</v>
      </c>
      <c r="S179" s="7" t="inlineStr">
        <is>
          <t>1.道下G</t>
        </is>
      </c>
      <c r="T179" s="7" t="inlineStr">
        <is>
          <t>杉本G</t>
        </is>
      </c>
      <c r="U179" s="7" t="inlineStr">
        <is>
          <t>移籍</t>
        </is>
      </c>
      <c r="V179" s="7" t="n"/>
      <c r="W179" s="7" t="inlineStr">
        <is>
          <t>道下グループ・・・イントロデューサー分も、マネージャーフィー0.25%も道下さんに報告、Goo分は0.25%</t>
        </is>
      </c>
    </row>
    <row r="180">
      <c r="A180" s="9" t="n">
        <v>570480</v>
      </c>
      <c r="B180" s="9" t="inlineStr">
        <is>
          <t>Tomida, Yukinori</t>
        </is>
      </c>
      <c r="C180" s="10" t="n">
        <v>7</v>
      </c>
      <c r="D180" s="10" t="n">
        <v>34.01</v>
      </c>
      <c r="E180" s="10" t="n">
        <v>34.01</v>
      </c>
      <c r="F180" s="10" t="n">
        <v>0</v>
      </c>
      <c r="G180" s="10" t="n">
        <v>7</v>
      </c>
      <c r="H180" s="10" t="n">
        <v>40.86</v>
      </c>
      <c r="I180" s="10" t="n">
        <v>40.86</v>
      </c>
      <c r="J180" s="10" t="n">
        <v>0</v>
      </c>
      <c r="K180" s="10" t="n">
        <v>7</v>
      </c>
      <c r="L180" s="10" t="n">
        <v>44.17</v>
      </c>
      <c r="M180" s="10" t="n">
        <v>44.17</v>
      </c>
      <c r="N180" s="10" t="n">
        <v>0</v>
      </c>
      <c r="O180" s="10" t="n">
        <v>21</v>
      </c>
      <c r="P180" s="10" t="n">
        <v>119.03</v>
      </c>
      <c r="Q180" s="10" t="n">
        <v>119.03</v>
      </c>
      <c r="R180" s="10" t="n">
        <v>0</v>
      </c>
      <c r="S180" s="9" t="inlineStr">
        <is>
          <t>個別</t>
        </is>
      </c>
      <c r="T180" s="9" t="inlineStr">
        <is>
          <t>R-Trust</t>
        </is>
      </c>
      <c r="U180" s="9" t="inlineStr">
        <is>
          <t>既得確保</t>
        </is>
      </c>
      <c r="V180" s="9" t="n"/>
      <c r="W180" s="9" t="n"/>
    </row>
    <row r="181">
      <c r="A181" s="7" t="n">
        <v>575996</v>
      </c>
      <c r="B181" s="7" t="inlineStr">
        <is>
          <t>Fukushi, Yuya</t>
        </is>
      </c>
      <c r="C181" s="8" t="n">
        <v>7</v>
      </c>
      <c r="D181" s="8" t="n">
        <v>28.57</v>
      </c>
      <c r="E181" s="8" t="n">
        <v>14.29</v>
      </c>
      <c r="F181" s="8" t="n">
        <v>14.29</v>
      </c>
      <c r="G181" s="8" t="n">
        <v>7</v>
      </c>
      <c r="H181" s="8" t="n">
        <v>38.84</v>
      </c>
      <c r="I181" s="8" t="n">
        <v>19.42</v>
      </c>
      <c r="J181" s="8" t="n">
        <v>19.42</v>
      </c>
      <c r="K181" s="8" t="n">
        <v>10</v>
      </c>
      <c r="L181" s="8" t="n">
        <v>49.75</v>
      </c>
      <c r="M181" s="8" t="n">
        <v>24.88</v>
      </c>
      <c r="N181" s="8" t="n">
        <v>24.88</v>
      </c>
      <c r="O181" s="8" t="n">
        <v>24</v>
      </c>
      <c r="P181" s="8" t="n">
        <v>117.16</v>
      </c>
      <c r="Q181" s="8" t="n">
        <v>58.58</v>
      </c>
      <c r="R181" s="8" t="n">
        <v>58.58</v>
      </c>
      <c r="S181" s="7" t="inlineStr">
        <is>
          <t>1.道下G</t>
        </is>
      </c>
      <c r="T181" s="7" t="inlineStr">
        <is>
          <t>小宮山G</t>
        </is>
      </c>
      <c r="U181" s="7" t="inlineStr">
        <is>
          <t>移籍</t>
        </is>
      </c>
      <c r="V181" s="7" t="n"/>
      <c r="W181" s="7" t="inlineStr">
        <is>
          <t>道下グループ・・・イントロデューサー分も、マネージャーフィー0.25%も道下さんに報告、Goo分は0.25%</t>
        </is>
      </c>
    </row>
    <row r="182">
      <c r="A182" s="9" t="n">
        <v>566502</v>
      </c>
      <c r="B182" s="9" t="inlineStr">
        <is>
          <t>Yamaguchi, Akiko</t>
        </is>
      </c>
      <c r="C182" s="10" t="n">
        <v>2</v>
      </c>
      <c r="D182" s="10" t="n">
        <v>35.58</v>
      </c>
      <c r="E182" s="10" t="n">
        <v>17.79</v>
      </c>
      <c r="F182" s="10" t="n">
        <v>17.79</v>
      </c>
      <c r="G182" s="10" t="n">
        <v>2</v>
      </c>
      <c r="H182" s="10" t="n">
        <v>39.02</v>
      </c>
      <c r="I182" s="10" t="n">
        <v>19.51</v>
      </c>
      <c r="J182" s="10" t="n">
        <v>19.51</v>
      </c>
      <c r="K182" s="10" t="n">
        <v>2</v>
      </c>
      <c r="L182" s="10" t="n">
        <v>41.72</v>
      </c>
      <c r="M182" s="10" t="n">
        <v>20.86</v>
      </c>
      <c r="N182" s="10" t="n">
        <v>20.86</v>
      </c>
      <c r="O182" s="10" t="n">
        <v>6</v>
      </c>
      <c r="P182" s="10" t="n">
        <v>116.33</v>
      </c>
      <c r="Q182" s="10" t="n">
        <v>58.16</v>
      </c>
      <c r="R182" s="10" t="n">
        <v>58.16</v>
      </c>
      <c r="S182" s="9" t="inlineStr">
        <is>
          <t>1.道下G</t>
        </is>
      </c>
      <c r="T182" s="9" t="inlineStr">
        <is>
          <t>道下傘下</t>
        </is>
      </c>
      <c r="U182" s="9" t="inlineStr">
        <is>
          <t>移籍</t>
        </is>
      </c>
      <c r="V182" s="9" t="n"/>
      <c r="W182" s="9" t="inlineStr">
        <is>
          <t>道下グループ・・・イントロデューサー分も、マネージャーフィー0.25%も道下さんに報告、Goo分は0.25%</t>
        </is>
      </c>
    </row>
    <row r="183">
      <c r="A183" s="7" t="n">
        <v>578423</v>
      </c>
      <c r="B183" s="7" t="inlineStr">
        <is>
          <t>Honda, Ryuhei</t>
        </is>
      </c>
      <c r="C183" s="8" t="n">
        <v>2</v>
      </c>
      <c r="D183" s="8" t="n">
        <v>22.11</v>
      </c>
      <c r="E183" s="8" t="n">
        <v>3</v>
      </c>
      <c r="F183" s="8" t="n">
        <v>0</v>
      </c>
      <c r="G183" s="8" t="n">
        <v>3</v>
      </c>
      <c r="H183" s="8" t="n">
        <v>42.39</v>
      </c>
      <c r="I183" s="8" t="n">
        <v>2.89</v>
      </c>
      <c r="J183" s="8" t="n">
        <v>0</v>
      </c>
      <c r="K183" s="8" t="n">
        <v>3</v>
      </c>
      <c r="L183" s="8" t="n">
        <v>46.19</v>
      </c>
      <c r="M183" s="8" t="n">
        <v>2.53</v>
      </c>
      <c r="N183" s="8" t="n">
        <v>0</v>
      </c>
      <c r="O183" s="8" t="n">
        <v>8</v>
      </c>
      <c r="P183" s="8" t="n">
        <v>110.69</v>
      </c>
      <c r="Q183" s="8" t="n">
        <v>8.42</v>
      </c>
      <c r="R183" s="8" t="n">
        <v>0</v>
      </c>
      <c r="S183" s="7" t="inlineStr">
        <is>
          <t>1.BANK</t>
        </is>
      </c>
      <c r="T183" s="7" t="inlineStr">
        <is>
          <t>中谷G</t>
        </is>
      </c>
      <c r="U183" s="7" t="inlineStr">
        <is>
          <t>アクティブ</t>
        </is>
      </c>
      <c r="V183" s="7" t="n"/>
      <c r="W183" s="7" t="inlineStr">
        <is>
          <t>Bank・・・ACS・PLATS・PLATPLはイントロデューサー分全額 1%</t>
        </is>
      </c>
    </row>
    <row r="184">
      <c r="A184" s="9" t="n">
        <v>571697</v>
      </c>
      <c r="B184" s="9" t="inlineStr">
        <is>
          <t>Tsushima, Yuichi</t>
        </is>
      </c>
      <c r="C184" s="10" t="n">
        <v>3</v>
      </c>
      <c r="D184" s="10" t="n">
        <v>26.32</v>
      </c>
      <c r="E184" s="10" t="n">
        <v>26.32</v>
      </c>
      <c r="F184" s="10" t="n">
        <v>0</v>
      </c>
      <c r="G184" s="10" t="n">
        <v>3</v>
      </c>
      <c r="H184" s="10" t="n">
        <v>29.7</v>
      </c>
      <c r="I184" s="10" t="n">
        <v>29.7</v>
      </c>
      <c r="J184" s="10" t="n">
        <v>0</v>
      </c>
      <c r="K184" s="10" t="n">
        <v>3</v>
      </c>
      <c r="L184" s="10" t="n">
        <v>31.43</v>
      </c>
      <c r="M184" s="10" t="n">
        <v>31.43</v>
      </c>
      <c r="N184" s="10" t="n">
        <v>0</v>
      </c>
      <c r="O184" s="10" t="n">
        <v>9</v>
      </c>
      <c r="P184" s="10" t="n">
        <v>87.47</v>
      </c>
      <c r="Q184" s="10" t="n">
        <v>87.47</v>
      </c>
      <c r="R184" s="10" t="n">
        <v>0</v>
      </c>
      <c r="S184" s="9" t="inlineStr">
        <is>
          <t>7.長谷川G</t>
        </is>
      </c>
      <c r="T184" s="9" t="n">
        <v>0</v>
      </c>
      <c r="U184" s="9" t="inlineStr">
        <is>
          <t>既得確保</t>
        </is>
      </c>
      <c r="V184" s="9" t="n"/>
      <c r="W184" s="9" t="n"/>
    </row>
    <row r="185">
      <c r="A185" s="7" t="n">
        <v>570686</v>
      </c>
      <c r="B185" s="7" t="inlineStr">
        <is>
          <t>Ikikata Co., Ltd.</t>
        </is>
      </c>
      <c r="C185" s="8" t="n">
        <v>1</v>
      </c>
      <c r="D185" s="8" t="n">
        <v>28.5</v>
      </c>
      <c r="E185" s="8" t="n">
        <v>14.25</v>
      </c>
      <c r="F185" s="8" t="n">
        <v>14.25</v>
      </c>
      <c r="G185" s="8" t="n">
        <v>1</v>
      </c>
      <c r="H185" s="8" t="n">
        <v>29.66</v>
      </c>
      <c r="I185" s="8" t="n">
        <v>14.83</v>
      </c>
      <c r="J185" s="8" t="n">
        <v>14.83</v>
      </c>
      <c r="K185" s="8" t="n">
        <v>1</v>
      </c>
      <c r="L185" s="8" t="n">
        <v>28.07</v>
      </c>
      <c r="M185" s="8" t="n">
        <v>14.04</v>
      </c>
      <c r="N185" s="8" t="n">
        <v>14.04</v>
      </c>
      <c r="O185" s="8" t="n">
        <v>3</v>
      </c>
      <c r="P185" s="8" t="n">
        <v>86.23</v>
      </c>
      <c r="Q185" s="8" t="n">
        <v>43.11</v>
      </c>
      <c r="R185" s="8" t="n">
        <v>43.11</v>
      </c>
      <c r="S185" s="7" t="inlineStr">
        <is>
          <t>12.脇坂G</t>
        </is>
      </c>
      <c r="T185" s="7" t="inlineStr">
        <is>
          <t>Ikikata G</t>
        </is>
      </c>
      <c r="U185" s="7" t="inlineStr">
        <is>
          <t>アクティブ</t>
        </is>
      </c>
      <c r="V185" s="7" t="n"/>
      <c r="W185" s="7" t="inlineStr">
        <is>
          <t>脇坂グループ・・・イントロデューサー分も、マネージャーフィー0.25%も脇坂さんに報告、Goo分は0.25%</t>
        </is>
      </c>
    </row>
    <row r="186">
      <c r="A186" s="9" t="n">
        <v>574864</v>
      </c>
      <c r="B186" s="9" t="inlineStr">
        <is>
          <t>Tomita, Shingo</t>
        </is>
      </c>
      <c r="C186" s="10" t="n">
        <v>1</v>
      </c>
      <c r="D186" s="10" t="n">
        <v>25.05</v>
      </c>
      <c r="E186" s="10" t="n">
        <v>12.53</v>
      </c>
      <c r="F186" s="10" t="n">
        <v>12.53</v>
      </c>
      <c r="G186" s="10" t="n">
        <v>1</v>
      </c>
      <c r="H186" s="10" t="n">
        <v>29.2</v>
      </c>
      <c r="I186" s="10" t="n">
        <v>14.6</v>
      </c>
      <c r="J186" s="10" t="n">
        <v>14.6</v>
      </c>
      <c r="K186" s="10" t="n">
        <v>1</v>
      </c>
      <c r="L186" s="10" t="n">
        <v>31.94</v>
      </c>
      <c r="M186" s="10" t="n">
        <v>15.97</v>
      </c>
      <c r="N186" s="10" t="n">
        <v>15.97</v>
      </c>
      <c r="O186" s="10" t="n">
        <v>3</v>
      </c>
      <c r="P186" s="10" t="n">
        <v>86.19</v>
      </c>
      <c r="Q186" s="10" t="n">
        <v>43.09</v>
      </c>
      <c r="R186" s="10" t="n">
        <v>43.09</v>
      </c>
      <c r="S186" s="9" t="inlineStr">
        <is>
          <t>12.脇坂G</t>
        </is>
      </c>
      <c r="T186" s="9" t="inlineStr">
        <is>
          <t>4 Capital 傘下</t>
        </is>
      </c>
      <c r="U186" s="9" t="inlineStr">
        <is>
          <t>アクティブ</t>
        </is>
      </c>
      <c r="V186" s="9" t="n"/>
      <c r="W186" s="9" t="inlineStr">
        <is>
          <t>脇坂グループ・・・イントロデューサー分も、マネージャーフィー0.25%も脇坂さんに報告、Goo分は0.25%</t>
        </is>
      </c>
    </row>
    <row r="187">
      <c r="A187" s="7" t="n">
        <v>573391</v>
      </c>
      <c r="B187" s="7" t="inlineStr">
        <is>
          <t>Shimomura, Tomi</t>
        </is>
      </c>
      <c r="C187" s="8" t="n">
        <v>3</v>
      </c>
      <c r="D187" s="8" t="n">
        <v>27.34</v>
      </c>
      <c r="E187" s="8" t="n">
        <v>27.34</v>
      </c>
      <c r="F187" s="8" t="n">
        <v>0</v>
      </c>
      <c r="G187" s="8" t="n">
        <v>3</v>
      </c>
      <c r="H187" s="8" t="n">
        <v>29.77</v>
      </c>
      <c r="I187" s="8" t="n">
        <v>29.77</v>
      </c>
      <c r="J187" s="8" t="n">
        <v>0</v>
      </c>
      <c r="K187" s="8" t="n">
        <v>3</v>
      </c>
      <c r="L187" s="8" t="n">
        <v>29.04</v>
      </c>
      <c r="M187" s="8" t="n">
        <v>29.04</v>
      </c>
      <c r="N187" s="8" t="n">
        <v>0</v>
      </c>
      <c r="O187" s="8" t="n">
        <v>9</v>
      </c>
      <c r="P187" s="8" t="n">
        <v>86.15000000000001</v>
      </c>
      <c r="Q187" s="8" t="n">
        <v>86.15000000000001</v>
      </c>
      <c r="R187" s="8" t="n">
        <v>0</v>
      </c>
      <c r="S187" s="7" t="inlineStr">
        <is>
          <t>7.長谷川G</t>
        </is>
      </c>
      <c r="T187" s="7" t="n">
        <v>0</v>
      </c>
      <c r="U187" s="7" t="inlineStr">
        <is>
          <t>既得確保</t>
        </is>
      </c>
      <c r="V187" s="7" t="n"/>
      <c r="W187" s="7" t="n"/>
    </row>
    <row r="188">
      <c r="A188" s="9" t="n">
        <v>564783</v>
      </c>
      <c r="B188" s="9" t="inlineStr">
        <is>
          <t>Kishimoto, Masanori</t>
        </is>
      </c>
      <c r="C188" s="10" t="n">
        <v>2</v>
      </c>
      <c r="D188" s="10" t="n">
        <v>28.25</v>
      </c>
      <c r="E188" s="10" t="n">
        <v>28.25</v>
      </c>
      <c r="F188" s="10" t="n">
        <v>0</v>
      </c>
      <c r="G188" s="10" t="n">
        <v>2</v>
      </c>
      <c r="H188" s="10" t="n">
        <v>28.81</v>
      </c>
      <c r="I188" s="10" t="n">
        <v>28.81</v>
      </c>
      <c r="J188" s="10" t="n">
        <v>0</v>
      </c>
      <c r="K188" s="10" t="n">
        <v>2</v>
      </c>
      <c r="L188" s="10" t="n">
        <v>27.48</v>
      </c>
      <c r="M188" s="10" t="n">
        <v>27.48</v>
      </c>
      <c r="N188" s="10" t="n">
        <v>0</v>
      </c>
      <c r="O188" s="10" t="n">
        <v>6</v>
      </c>
      <c r="P188" s="10" t="n">
        <v>84.54000000000001</v>
      </c>
      <c r="Q188" s="10" t="n">
        <v>84.54000000000001</v>
      </c>
      <c r="R188" s="10" t="n">
        <v>0</v>
      </c>
      <c r="S188" s="9" t="inlineStr">
        <is>
          <t>個別</t>
        </is>
      </c>
      <c r="T188" s="9" t="n">
        <v>0</v>
      </c>
      <c r="U188" s="9" t="inlineStr">
        <is>
          <t>アクティブ</t>
        </is>
      </c>
      <c r="V188" s="9" t="n"/>
      <c r="W188" s="9" t="n"/>
    </row>
    <row r="189">
      <c r="A189" s="7" t="n">
        <v>566639</v>
      </c>
      <c r="B189" s="7" t="inlineStr">
        <is>
          <t>Omizo, Tomoo</t>
        </is>
      </c>
      <c r="C189" s="8" t="n">
        <v>1</v>
      </c>
      <c r="D189" s="8" t="n">
        <v>27.71</v>
      </c>
      <c r="E189" s="8" t="n">
        <v>27.71</v>
      </c>
      <c r="F189" s="8" t="n">
        <v>0</v>
      </c>
      <c r="G189" s="8" t="n">
        <v>1</v>
      </c>
      <c r="H189" s="8" t="n">
        <v>28.82</v>
      </c>
      <c r="I189" s="8" t="n">
        <v>28.82</v>
      </c>
      <c r="J189" s="8" t="n">
        <v>0</v>
      </c>
      <c r="K189" s="8" t="n">
        <v>1</v>
      </c>
      <c r="L189" s="8" t="n">
        <v>27.79</v>
      </c>
      <c r="M189" s="8" t="n">
        <v>27.79</v>
      </c>
      <c r="N189" s="8" t="n">
        <v>0</v>
      </c>
      <c r="O189" s="8" t="n">
        <v>3</v>
      </c>
      <c r="P189" s="8" t="n">
        <v>84.31</v>
      </c>
      <c r="Q189" s="8" t="n">
        <v>84.31</v>
      </c>
      <c r="R189" s="8" t="n">
        <v>0</v>
      </c>
      <c r="S189" s="7" t="inlineStr">
        <is>
          <t>個別</t>
        </is>
      </c>
      <c r="T189" s="7" t="n">
        <v>0</v>
      </c>
      <c r="U189" s="7" t="inlineStr">
        <is>
          <t>既得確保</t>
        </is>
      </c>
      <c r="V189" s="7" t="n"/>
      <c r="W189" s="7" t="n"/>
    </row>
    <row r="190">
      <c r="A190" s="9" t="n">
        <v>570654</v>
      </c>
      <c r="B190" s="9" t="inlineStr">
        <is>
          <t>Hayashi, Kunitaka</t>
        </is>
      </c>
      <c r="C190" s="10" t="n">
        <v>2</v>
      </c>
      <c r="D190" s="10" t="n">
        <v>26.77</v>
      </c>
      <c r="E190" s="10" t="n">
        <v>26.77</v>
      </c>
      <c r="F190" s="10" t="n">
        <v>0</v>
      </c>
      <c r="G190" s="10" t="n">
        <v>2</v>
      </c>
      <c r="H190" s="10" t="n">
        <v>27.8</v>
      </c>
      <c r="I190" s="10" t="n">
        <v>27.8</v>
      </c>
      <c r="J190" s="10" t="n">
        <v>0</v>
      </c>
      <c r="K190" s="10" t="n">
        <v>2</v>
      </c>
      <c r="L190" s="10" t="n">
        <v>27.09</v>
      </c>
      <c r="M190" s="10" t="n">
        <v>27.09</v>
      </c>
      <c r="N190" s="10" t="n">
        <v>0</v>
      </c>
      <c r="O190" s="10" t="n">
        <v>6</v>
      </c>
      <c r="P190" s="10" t="n">
        <v>81.66</v>
      </c>
      <c r="Q190" s="10" t="n">
        <v>81.66</v>
      </c>
      <c r="R190" s="10" t="n">
        <v>0</v>
      </c>
      <c r="S190" s="9" t="inlineStr">
        <is>
          <t>1.BANK</t>
        </is>
      </c>
      <c r="T190" s="9" t="inlineStr">
        <is>
          <t>森さん</t>
        </is>
      </c>
      <c r="U190" s="9" t="inlineStr">
        <is>
          <t>既得確保</t>
        </is>
      </c>
      <c r="V190" s="9" t="n"/>
      <c r="W190" s="9" t="n"/>
    </row>
    <row r="191">
      <c r="A191" s="7" t="n">
        <v>564266</v>
      </c>
      <c r="B191" s="7" t="inlineStr">
        <is>
          <t>Takasugi, Kensuke</t>
        </is>
      </c>
      <c r="C191" s="8" t="n">
        <v>1</v>
      </c>
      <c r="D191" s="8" t="n">
        <v>23.59</v>
      </c>
      <c r="E191" s="8" t="n">
        <v>11.79</v>
      </c>
      <c r="F191" s="8" t="n">
        <v>11.79</v>
      </c>
      <c r="G191" s="8" t="n">
        <v>1</v>
      </c>
      <c r="H191" s="8" t="n">
        <v>27.5</v>
      </c>
      <c r="I191" s="8" t="n">
        <v>13.75</v>
      </c>
      <c r="J191" s="8" t="n">
        <v>13.75</v>
      </c>
      <c r="K191" s="8" t="n">
        <v>1</v>
      </c>
      <c r="L191" s="8" t="n">
        <v>30.3</v>
      </c>
      <c r="M191" s="8" t="n">
        <v>15.15</v>
      </c>
      <c r="N191" s="8" t="n">
        <v>15.15</v>
      </c>
      <c r="O191" s="8" t="n">
        <v>3</v>
      </c>
      <c r="P191" s="8" t="n">
        <v>81.39</v>
      </c>
      <c r="Q191" s="8" t="n">
        <v>40.7</v>
      </c>
      <c r="R191" s="8" t="n">
        <v>40.7</v>
      </c>
      <c r="S191" s="7" t="inlineStr">
        <is>
          <t>1.道下G</t>
        </is>
      </c>
      <c r="T191" s="7" t="inlineStr">
        <is>
          <t>道下傘下</t>
        </is>
      </c>
      <c r="U191" s="7" t="inlineStr">
        <is>
          <t>移籍</t>
        </is>
      </c>
      <c r="V191" s="7" t="n"/>
      <c r="W191" s="7" t="inlineStr">
        <is>
          <t>道下グループ・・・イントロデューサー分も、マネージャーフィー0.25%も道下さんに報告、Goo分は0.25%</t>
        </is>
      </c>
    </row>
    <row r="192">
      <c r="A192" s="9" t="n">
        <v>567979</v>
      </c>
      <c r="B192" s="9" t="inlineStr">
        <is>
          <t>March Ltd</t>
        </is>
      </c>
      <c r="C192" s="10" t="n">
        <v>4</v>
      </c>
      <c r="D192" s="10" t="n">
        <v>63.47</v>
      </c>
      <c r="E192" s="10" t="n">
        <v>31.73</v>
      </c>
      <c r="F192" s="10" t="n">
        <v>31.73</v>
      </c>
      <c r="G192" s="10" t="n">
        <v>5</v>
      </c>
      <c r="H192" s="10" t="n">
        <v>14.86</v>
      </c>
      <c r="I192" s="10" t="n">
        <v>7.43</v>
      </c>
      <c r="J192" s="10" t="n">
        <v>7.43</v>
      </c>
      <c r="K192" s="10" t="n">
        <v>6</v>
      </c>
      <c r="L192" s="10" t="n">
        <v>6.1</v>
      </c>
      <c r="M192" s="10" t="n">
        <v>3.05</v>
      </c>
      <c r="N192" s="10" t="n">
        <v>3.05</v>
      </c>
      <c r="O192" s="10" t="n">
        <v>15</v>
      </c>
      <c r="P192" s="10" t="n">
        <v>84.43000000000001</v>
      </c>
      <c r="Q192" s="10" t="n">
        <v>42.22</v>
      </c>
      <c r="R192" s="10" t="n">
        <v>42.22</v>
      </c>
      <c r="S192" s="9" t="inlineStr">
        <is>
          <t>4.March G</t>
        </is>
      </c>
      <c r="T192" s="9" t="n">
        <v>0</v>
      </c>
      <c r="U192" s="9" t="inlineStr">
        <is>
          <t>既得確保</t>
        </is>
      </c>
      <c r="V192" s="9" t="n"/>
      <c r="W192" s="9" t="inlineStr">
        <is>
          <t>March一樹・・・イントロデューサー分も、マネージャーフィー0.25%も一樹さんに報告、Goo分は0.25%</t>
        </is>
      </c>
    </row>
    <row r="193">
      <c r="A193" s="7" t="n">
        <v>571721</v>
      </c>
      <c r="B193" s="7" t="inlineStr">
        <is>
          <t>Mayama, Kouji</t>
        </is>
      </c>
      <c r="C193" s="8" t="n">
        <v>2</v>
      </c>
      <c r="D193" s="8" t="n">
        <v>23.96</v>
      </c>
      <c r="E193" s="8" t="n">
        <v>11.98</v>
      </c>
      <c r="F193" s="8" t="n">
        <v>11.98</v>
      </c>
      <c r="G193" s="8" t="n">
        <v>2</v>
      </c>
      <c r="H193" s="8" t="n">
        <v>26.06</v>
      </c>
      <c r="I193" s="8" t="n">
        <v>13.03</v>
      </c>
      <c r="J193" s="8" t="n">
        <v>13.03</v>
      </c>
      <c r="K193" s="8" t="n">
        <v>2</v>
      </c>
      <c r="L193" s="8" t="n">
        <v>27.65</v>
      </c>
      <c r="M193" s="8" t="n">
        <v>13.82</v>
      </c>
      <c r="N193" s="8" t="n">
        <v>13.82</v>
      </c>
      <c r="O193" s="8" t="n">
        <v>6</v>
      </c>
      <c r="P193" s="8" t="n">
        <v>77.67</v>
      </c>
      <c r="Q193" s="8" t="n">
        <v>38.84</v>
      </c>
      <c r="R193" s="8" t="n">
        <v>38.84</v>
      </c>
      <c r="S193" s="7" t="inlineStr">
        <is>
          <t>12.脇坂G</t>
        </is>
      </c>
      <c r="T193" s="7" t="inlineStr">
        <is>
          <t>4 Capital 傘下</t>
        </is>
      </c>
      <c r="U193" s="7" t="inlineStr">
        <is>
          <t>アクティブ</t>
        </is>
      </c>
      <c r="V193" s="7" t="n"/>
      <c r="W193" s="7" t="inlineStr">
        <is>
          <t>脇坂グループ・・・イントロデューサー分も、マネージャーフィー0.25%も脇坂さんに報告、Goo分は0.25%</t>
        </is>
      </c>
    </row>
    <row r="194">
      <c r="A194" s="9" t="n">
        <v>566704</v>
      </c>
      <c r="B194" s="9" t="inlineStr">
        <is>
          <t>Uchiyama, Suguru</t>
        </is>
      </c>
      <c r="C194" s="10" t="n">
        <v>4</v>
      </c>
      <c r="D194" s="10" t="n">
        <v>25.02</v>
      </c>
      <c r="E194" s="10" t="n">
        <v>12.51</v>
      </c>
      <c r="F194" s="10" t="n">
        <v>12.51</v>
      </c>
      <c r="G194" s="10" t="n">
        <v>3</v>
      </c>
      <c r="H194" s="10" t="n">
        <v>25.89</v>
      </c>
      <c r="I194" s="10" t="n">
        <v>12.94</v>
      </c>
      <c r="J194" s="10" t="n">
        <v>12.94</v>
      </c>
      <c r="K194" s="10" t="n">
        <v>3</v>
      </c>
      <c r="L194" s="10" t="n">
        <v>24.99</v>
      </c>
      <c r="M194" s="10" t="n">
        <v>12.5</v>
      </c>
      <c r="N194" s="10" t="n">
        <v>12.5</v>
      </c>
      <c r="O194" s="10" t="n">
        <v>10</v>
      </c>
      <c r="P194" s="10" t="n">
        <v>75.91</v>
      </c>
      <c r="Q194" s="10" t="n">
        <v>37.95</v>
      </c>
      <c r="R194" s="10" t="n">
        <v>37.95</v>
      </c>
      <c r="S194" s="9" t="inlineStr">
        <is>
          <t>1.道下G</t>
        </is>
      </c>
      <c r="T194" s="9" t="inlineStr">
        <is>
          <t>杉本G</t>
        </is>
      </c>
      <c r="U194" s="9" t="inlineStr">
        <is>
          <t>移籍</t>
        </is>
      </c>
      <c r="V194" s="9" t="n"/>
      <c r="W194" s="9" t="inlineStr">
        <is>
          <t>道下グループ・・・イントロデューサー分も、マネージャーフィー0.25%も道下さんに報告、Goo分は0.25%</t>
        </is>
      </c>
    </row>
    <row r="195">
      <c r="A195" s="7" t="n">
        <v>570134</v>
      </c>
      <c r="B195" s="7" t="inlineStr">
        <is>
          <t>Akao, Hajime</t>
        </is>
      </c>
      <c r="C195" s="8" t="n">
        <v>3</v>
      </c>
      <c r="D195" s="8" t="n">
        <v>22.26</v>
      </c>
      <c r="E195" s="8" t="n">
        <v>22.26</v>
      </c>
      <c r="F195" s="8" t="n">
        <v>0</v>
      </c>
      <c r="G195" s="8" t="n">
        <v>3</v>
      </c>
      <c r="H195" s="8" t="n">
        <v>25.3</v>
      </c>
      <c r="I195" s="8" t="n">
        <v>25.3</v>
      </c>
      <c r="J195" s="8" t="n">
        <v>0</v>
      </c>
      <c r="K195" s="8" t="n">
        <v>3</v>
      </c>
      <c r="L195" s="8" t="n">
        <v>26.44</v>
      </c>
      <c r="M195" s="8" t="n">
        <v>26.44</v>
      </c>
      <c r="N195" s="8" t="n">
        <v>0</v>
      </c>
      <c r="O195" s="8" t="n">
        <v>9</v>
      </c>
      <c r="P195" s="8" t="n">
        <v>74</v>
      </c>
      <c r="Q195" s="8" t="n">
        <v>74</v>
      </c>
      <c r="R195" s="8" t="n">
        <v>0</v>
      </c>
      <c r="S195" s="7" t="inlineStr">
        <is>
          <t>個別</t>
        </is>
      </c>
      <c r="T195" s="7" t="n">
        <v>0</v>
      </c>
      <c r="U195" s="7" t="inlineStr">
        <is>
          <t>既得確保</t>
        </is>
      </c>
      <c r="V195" s="7" t="n"/>
      <c r="W195" s="7" t="n"/>
    </row>
    <row r="196">
      <c r="A196" s="9" t="n">
        <v>570982</v>
      </c>
      <c r="B196" s="9" t="inlineStr">
        <is>
          <t>Hara, Kazuma</t>
        </is>
      </c>
      <c r="C196" s="10" t="n">
        <v>3</v>
      </c>
      <c r="D196" s="10" t="n">
        <v>21.06</v>
      </c>
      <c r="E196" s="10" t="n">
        <v>10.53</v>
      </c>
      <c r="F196" s="10" t="n">
        <v>10.53</v>
      </c>
      <c r="G196" s="10" t="n">
        <v>3</v>
      </c>
      <c r="H196" s="10" t="n">
        <v>24.73</v>
      </c>
      <c r="I196" s="10" t="n">
        <v>12.37</v>
      </c>
      <c r="J196" s="10" t="n">
        <v>12.37</v>
      </c>
      <c r="K196" s="10" t="n">
        <v>3</v>
      </c>
      <c r="L196" s="10" t="n">
        <v>27.96</v>
      </c>
      <c r="M196" s="10" t="n">
        <v>13.98</v>
      </c>
      <c r="N196" s="10" t="n">
        <v>13.98</v>
      </c>
      <c r="O196" s="10" t="n">
        <v>9</v>
      </c>
      <c r="P196" s="10" t="n">
        <v>73.76000000000001</v>
      </c>
      <c r="Q196" s="10" t="n">
        <v>36.88</v>
      </c>
      <c r="R196" s="10" t="n">
        <v>36.88</v>
      </c>
      <c r="S196" s="9" t="inlineStr">
        <is>
          <t>1.道下G</t>
        </is>
      </c>
      <c r="T196" s="9" t="inlineStr">
        <is>
          <t>杉本G</t>
        </is>
      </c>
      <c r="U196" s="9" t="inlineStr">
        <is>
          <t>移籍</t>
        </is>
      </c>
      <c r="V196" s="9" t="n"/>
      <c r="W196" s="9" t="inlineStr">
        <is>
          <t>道下グループ・・・イントロデューサー分も、マネージャーフィー0.25%も道下さんに報告、Goo分は0.25%</t>
        </is>
      </c>
    </row>
    <row r="197">
      <c r="A197" s="7" t="n">
        <v>575351</v>
      </c>
      <c r="B197" s="7" t="inlineStr">
        <is>
          <t>Kamizane, Takakazu</t>
        </is>
      </c>
      <c r="C197" s="8" t="n">
        <v>9</v>
      </c>
      <c r="D197" s="8" t="n">
        <v>9.74</v>
      </c>
      <c r="E197" s="8" t="n">
        <v>9.74</v>
      </c>
      <c r="F197" s="8" t="n">
        <v>0</v>
      </c>
      <c r="G197" s="8" t="n">
        <v>15</v>
      </c>
      <c r="H197" s="8" t="n">
        <v>23.88</v>
      </c>
      <c r="I197" s="8" t="n">
        <v>23.88</v>
      </c>
      <c r="J197" s="8" t="n">
        <v>0</v>
      </c>
      <c r="K197" s="8" t="n">
        <v>16</v>
      </c>
      <c r="L197" s="8" t="n">
        <v>38.88</v>
      </c>
      <c r="M197" s="8" t="n">
        <v>38.88</v>
      </c>
      <c r="N197" s="8" t="n">
        <v>0</v>
      </c>
      <c r="O197" s="8" t="n">
        <v>40</v>
      </c>
      <c r="P197" s="8" t="n">
        <v>72.5</v>
      </c>
      <c r="Q197" s="8" t="n">
        <v>72.5</v>
      </c>
      <c r="R197" s="8" t="n">
        <v>0</v>
      </c>
      <c r="S197" s="7" t="n">
        <v>0</v>
      </c>
      <c r="T197" s="7" t="n">
        <v>0</v>
      </c>
      <c r="U197" s="7" t="inlineStr">
        <is>
          <t>解除済</t>
        </is>
      </c>
      <c r="V197" s="7" t="n"/>
      <c r="W197" s="7" t="n"/>
    </row>
    <row r="198">
      <c r="A198" s="9" t="n">
        <v>564513</v>
      </c>
      <c r="B198" s="9" t="inlineStr">
        <is>
          <t>Sakai, Kyohei</t>
        </is>
      </c>
      <c r="C198" s="10" t="n">
        <v>1</v>
      </c>
      <c r="D198" s="10" t="n">
        <v>24.11</v>
      </c>
      <c r="E198" s="10" t="n">
        <v>24.11</v>
      </c>
      <c r="F198" s="10" t="n">
        <v>0</v>
      </c>
      <c r="G198" s="10" t="n">
        <v>1</v>
      </c>
      <c r="H198" s="10" t="n">
        <v>24.65</v>
      </c>
      <c r="I198" s="10" t="n">
        <v>24.65</v>
      </c>
      <c r="J198" s="10" t="n">
        <v>0</v>
      </c>
      <c r="K198" s="10" t="n">
        <v>1</v>
      </c>
      <c r="L198" s="10" t="n">
        <v>23.5</v>
      </c>
      <c r="M198" s="10" t="n">
        <v>23.5</v>
      </c>
      <c r="N198" s="10" t="n">
        <v>0</v>
      </c>
      <c r="O198" s="10" t="n">
        <v>3</v>
      </c>
      <c r="P198" s="10" t="n">
        <v>72.26000000000001</v>
      </c>
      <c r="Q198" s="10" t="n">
        <v>72.26000000000001</v>
      </c>
      <c r="R198" s="10" t="n">
        <v>0</v>
      </c>
      <c r="S198" s="9" t="inlineStr">
        <is>
          <t>16.MJP (Gift)</t>
        </is>
      </c>
      <c r="T198" s="9" t="n">
        <v>0</v>
      </c>
      <c r="U198" s="9" t="inlineStr">
        <is>
          <t>既得確保</t>
        </is>
      </c>
      <c r="V198" s="9" t="n"/>
      <c r="W198" s="9" t="n"/>
    </row>
    <row r="199">
      <c r="A199" s="7" t="n">
        <v>570144</v>
      </c>
      <c r="B199" s="7" t="inlineStr">
        <is>
          <t>Hirano, Atsuki</t>
        </is>
      </c>
      <c r="C199" s="8" t="n">
        <v>3</v>
      </c>
      <c r="D199" s="8" t="n">
        <v>22.8</v>
      </c>
      <c r="E199" s="8" t="n">
        <v>22.8</v>
      </c>
      <c r="F199" s="8" t="n">
        <v>0</v>
      </c>
      <c r="G199" s="8" t="n">
        <v>3</v>
      </c>
      <c r="H199" s="8" t="n">
        <v>24.57</v>
      </c>
      <c r="I199" s="8" t="n">
        <v>24.57</v>
      </c>
      <c r="J199" s="8" t="n">
        <v>0</v>
      </c>
      <c r="K199" s="8" t="n">
        <v>3</v>
      </c>
      <c r="L199" s="8" t="n">
        <v>24.83</v>
      </c>
      <c r="M199" s="8" t="n">
        <v>24.83</v>
      </c>
      <c r="N199" s="8" t="n">
        <v>0</v>
      </c>
      <c r="O199" s="8" t="n">
        <v>9</v>
      </c>
      <c r="P199" s="8" t="n">
        <v>72.2</v>
      </c>
      <c r="Q199" s="8" t="n">
        <v>72.2</v>
      </c>
      <c r="R199" s="8" t="n">
        <v>0</v>
      </c>
      <c r="S199" s="7" t="inlineStr">
        <is>
          <t>3.CHARM Co., Ltd.</t>
        </is>
      </c>
      <c r="T199" s="7" t="n">
        <v>0</v>
      </c>
      <c r="U199" s="7" t="inlineStr">
        <is>
          <t>既得確保</t>
        </is>
      </c>
      <c r="V199" s="7" t="n"/>
      <c r="W199" s="7" t="n"/>
    </row>
    <row r="200">
      <c r="A200" s="9" t="n">
        <v>568742</v>
      </c>
      <c r="B200" s="9" t="inlineStr">
        <is>
          <t>Murata, Kyoji</t>
        </is>
      </c>
      <c r="C200" s="10" t="n">
        <v>2</v>
      </c>
      <c r="D200" s="10" t="n">
        <v>22.46</v>
      </c>
      <c r="E200" s="10" t="n">
        <v>22.46</v>
      </c>
      <c r="F200" s="10" t="n">
        <v>0</v>
      </c>
      <c r="G200" s="10" t="n">
        <v>2</v>
      </c>
      <c r="H200" s="10" t="n">
        <v>24.07</v>
      </c>
      <c r="I200" s="10" t="n">
        <v>24.07</v>
      </c>
      <c r="J200" s="10" t="n">
        <v>0</v>
      </c>
      <c r="K200" s="10" t="n">
        <v>2</v>
      </c>
      <c r="L200" s="10" t="n">
        <v>23.8</v>
      </c>
      <c r="M200" s="10" t="n">
        <v>23.8</v>
      </c>
      <c r="N200" s="10" t="n">
        <v>0</v>
      </c>
      <c r="O200" s="10" t="n">
        <v>6</v>
      </c>
      <c r="P200" s="10" t="n">
        <v>70.33</v>
      </c>
      <c r="Q200" s="10" t="n">
        <v>70.33</v>
      </c>
      <c r="R200" s="10" t="n">
        <v>0</v>
      </c>
      <c r="S200" s="9" t="inlineStr">
        <is>
          <t>2.旧川村G (Gift)</t>
        </is>
      </c>
      <c r="T200" s="9" t="n">
        <v>0</v>
      </c>
      <c r="U200" s="9" t="inlineStr">
        <is>
          <t>アクティブ</t>
        </is>
      </c>
      <c r="V200" s="9" t="n"/>
      <c r="W200" s="9" t="n"/>
    </row>
    <row r="201">
      <c r="A201" s="7" t="n">
        <v>572877</v>
      </c>
      <c r="B201" s="7" t="inlineStr">
        <is>
          <t>Kawayoshi, Masatoshi</t>
        </is>
      </c>
      <c r="C201" s="8" t="n">
        <v>4</v>
      </c>
      <c r="D201" s="8" t="n">
        <v>20.23</v>
      </c>
      <c r="E201" s="8" t="n">
        <v>20.23</v>
      </c>
      <c r="F201" s="8" t="n">
        <v>0</v>
      </c>
      <c r="G201" s="8" t="n">
        <v>5</v>
      </c>
      <c r="H201" s="8" t="n">
        <v>23.72</v>
      </c>
      <c r="I201" s="8" t="n">
        <v>23.72</v>
      </c>
      <c r="J201" s="8" t="n">
        <v>0</v>
      </c>
      <c r="K201" s="8" t="n">
        <v>5</v>
      </c>
      <c r="L201" s="8" t="n">
        <v>25.43</v>
      </c>
      <c r="M201" s="8" t="n">
        <v>25.43</v>
      </c>
      <c r="N201" s="8" t="n">
        <v>0</v>
      </c>
      <c r="O201" s="8" t="n">
        <v>14</v>
      </c>
      <c r="P201" s="8" t="n">
        <v>69.39</v>
      </c>
      <c r="Q201" s="8" t="n">
        <v>69.39</v>
      </c>
      <c r="R201" s="8" t="n">
        <v>0</v>
      </c>
      <c r="S201" s="7" t="inlineStr">
        <is>
          <t>個別</t>
        </is>
      </c>
      <c r="T201" s="7" t="n">
        <v>0</v>
      </c>
      <c r="U201" s="7" t="inlineStr">
        <is>
          <t>アクティブ</t>
        </is>
      </c>
      <c r="V201" s="7" t="n"/>
      <c r="W201" s="7" t="n"/>
    </row>
    <row r="202">
      <c r="A202" s="9" t="n">
        <v>564745</v>
      </c>
      <c r="B202" s="9" t="inlineStr">
        <is>
          <t>Umeda, Ryo</t>
        </is>
      </c>
      <c r="C202" s="10" t="n">
        <v>1</v>
      </c>
      <c r="D202" s="10" t="n">
        <v>30.16</v>
      </c>
      <c r="E202" s="10" t="n">
        <v>15.08</v>
      </c>
      <c r="F202" s="10" t="n">
        <v>15.08</v>
      </c>
      <c r="G202" s="10" t="n">
        <v>1</v>
      </c>
      <c r="H202" s="10" t="n">
        <v>32.61</v>
      </c>
      <c r="I202" s="10" t="n">
        <v>16.3</v>
      </c>
      <c r="J202" s="10" t="n">
        <v>16.3</v>
      </c>
      <c r="K202" s="10" t="n">
        <v>1</v>
      </c>
      <c r="L202" s="10" t="n">
        <v>4.18</v>
      </c>
      <c r="M202" s="10" t="n">
        <v>2.09</v>
      </c>
      <c r="N202" s="10" t="n">
        <v>2.09</v>
      </c>
      <c r="O202" s="10" t="n">
        <v>3</v>
      </c>
      <c r="P202" s="10" t="n">
        <v>66.95</v>
      </c>
      <c r="Q202" s="10" t="n">
        <v>33.48</v>
      </c>
      <c r="R202" s="10" t="n">
        <v>33.48</v>
      </c>
      <c r="S202" s="9" t="inlineStr">
        <is>
          <t>1.道下G</t>
        </is>
      </c>
      <c r="T202" s="9" t="inlineStr">
        <is>
          <t>佐藤G</t>
        </is>
      </c>
      <c r="U202" s="9" t="inlineStr">
        <is>
          <t>移籍</t>
        </is>
      </c>
      <c r="V202" s="9" t="n"/>
      <c r="W202" s="9" t="inlineStr">
        <is>
          <t>道下グループ・・・イントロデューサー分も、マネージャーフィー0.25%も道下さんに報告、Goo分は0.25%</t>
        </is>
      </c>
    </row>
    <row r="203">
      <c r="A203" s="7" t="n">
        <v>569898</v>
      </c>
      <c r="B203" s="7" t="inlineStr">
        <is>
          <t>Ohkoshi, Katsutoshi</t>
        </is>
      </c>
      <c r="C203" s="8" t="n">
        <v>2</v>
      </c>
      <c r="D203" s="8" t="n">
        <v>19.94</v>
      </c>
      <c r="E203" s="8" t="n">
        <v>9.970000000000001</v>
      </c>
      <c r="F203" s="8" t="n">
        <v>9.970000000000001</v>
      </c>
      <c r="G203" s="8" t="n">
        <v>2</v>
      </c>
      <c r="H203" s="8" t="n">
        <v>21.9</v>
      </c>
      <c r="I203" s="8" t="n">
        <v>10.95</v>
      </c>
      <c r="J203" s="8" t="n">
        <v>10.95</v>
      </c>
      <c r="K203" s="8" t="n">
        <v>2</v>
      </c>
      <c r="L203" s="8" t="n">
        <v>23.44</v>
      </c>
      <c r="M203" s="8" t="n">
        <v>11.72</v>
      </c>
      <c r="N203" s="8" t="n">
        <v>11.72</v>
      </c>
      <c r="O203" s="8" t="n">
        <v>6</v>
      </c>
      <c r="P203" s="8" t="n">
        <v>65.27</v>
      </c>
      <c r="Q203" s="8" t="n">
        <v>32.64</v>
      </c>
      <c r="R203" s="8" t="n">
        <v>32.64</v>
      </c>
      <c r="S203" s="7" t="inlineStr">
        <is>
          <t>1.道下G</t>
        </is>
      </c>
      <c r="T203" s="7" t="inlineStr">
        <is>
          <t>小宮山G</t>
        </is>
      </c>
      <c r="U203" s="7" t="inlineStr">
        <is>
          <t>移籍</t>
        </is>
      </c>
      <c r="V203" s="7" t="n"/>
      <c r="W203" s="7" t="inlineStr">
        <is>
          <t>道下グループ・・・イントロデューサー分も、マネージャーフィー0.25%も道下さんに報告、Goo分は0.25%</t>
        </is>
      </c>
    </row>
    <row r="204">
      <c r="A204" s="9" t="n">
        <v>575141</v>
      </c>
      <c r="B204" s="9" t="inlineStr">
        <is>
          <t>Belle City Consulting Co., Ltd.</t>
        </is>
      </c>
      <c r="C204" s="10" t="n">
        <v>1</v>
      </c>
      <c r="D204" s="10" t="n">
        <v>19.17</v>
      </c>
      <c r="E204" s="10" t="n">
        <v>19.17</v>
      </c>
      <c r="F204" s="10" t="n">
        <v>0</v>
      </c>
      <c r="G204" s="10" t="n">
        <v>1</v>
      </c>
      <c r="H204" s="10" t="n">
        <v>21.73</v>
      </c>
      <c r="I204" s="10" t="n">
        <v>21.73</v>
      </c>
      <c r="J204" s="10" t="n">
        <v>0</v>
      </c>
      <c r="K204" s="10" t="n">
        <v>1</v>
      </c>
      <c r="L204" s="10" t="n">
        <v>23.86</v>
      </c>
      <c r="M204" s="10" t="n">
        <v>23.86</v>
      </c>
      <c r="N204" s="10" t="n">
        <v>0</v>
      </c>
      <c r="O204" s="10" t="n">
        <v>3</v>
      </c>
      <c r="P204" s="10" t="n">
        <v>64.77</v>
      </c>
      <c r="Q204" s="10" t="n">
        <v>64.77</v>
      </c>
      <c r="R204" s="10" t="n">
        <v>0</v>
      </c>
      <c r="S204" s="9" t="inlineStr">
        <is>
          <t>1.BANK</t>
        </is>
      </c>
      <c r="T204" s="9" t="inlineStr">
        <is>
          <t>BANK直</t>
        </is>
      </c>
      <c r="U204" s="9" t="inlineStr">
        <is>
          <t>既得確保</t>
        </is>
      </c>
      <c r="V204" s="9" t="n"/>
      <c r="W204" s="9" t="n"/>
    </row>
    <row r="205">
      <c r="A205" s="7" t="n">
        <v>579805</v>
      </c>
      <c r="B205" s="7" t="inlineStr">
        <is>
          <t>Hashimoto, Satoshi</t>
        </is>
      </c>
      <c r="C205" s="8" t="n">
        <v>0</v>
      </c>
      <c r="D205" s="8" t="n">
        <v>0</v>
      </c>
      <c r="E205" s="8" t="n">
        <v>0</v>
      </c>
      <c r="F205" s="8" t="n">
        <v>0</v>
      </c>
      <c r="G205" s="8" t="n">
        <v>1</v>
      </c>
      <c r="H205" s="8" t="n">
        <v>27.41</v>
      </c>
      <c r="I205" s="8" t="n">
        <v>27.41</v>
      </c>
      <c r="J205" s="8" t="n">
        <v>0</v>
      </c>
      <c r="K205" s="8" t="n">
        <v>1</v>
      </c>
      <c r="L205" s="8" t="n">
        <v>36.45</v>
      </c>
      <c r="M205" s="8" t="n">
        <v>36.45</v>
      </c>
      <c r="N205" s="8" t="n">
        <v>0</v>
      </c>
      <c r="O205" s="8" t="n">
        <v>2</v>
      </c>
      <c r="P205" s="8" t="n">
        <v>63.86</v>
      </c>
      <c r="Q205" s="8" t="n">
        <v>63.86</v>
      </c>
      <c r="R205" s="8" t="n">
        <v>0</v>
      </c>
      <c r="S205" s="7" t="inlineStr">
        <is>
          <t>1.BANK</t>
        </is>
      </c>
      <c r="T205" s="7" t="inlineStr">
        <is>
          <t>パクさん</t>
        </is>
      </c>
      <c r="U205" s="7" t="inlineStr">
        <is>
          <t>アクティブ</t>
        </is>
      </c>
      <c r="V205" s="7" t="n"/>
      <c r="W205" s="7" t="inlineStr">
        <is>
          <t>フィンタレスト・・・ACS・PLATS・PLATPLはBankと折半</t>
        </is>
      </c>
    </row>
    <row r="206">
      <c r="A206" s="9" t="n">
        <v>565221</v>
      </c>
      <c r="B206" s="9" t="inlineStr">
        <is>
          <t>Star Village Limited</t>
        </is>
      </c>
      <c r="C206" s="10" t="n">
        <v>1</v>
      </c>
      <c r="D206" s="10" t="n">
        <v>21.61</v>
      </c>
      <c r="E206" s="10" t="n">
        <v>21.61</v>
      </c>
      <c r="F206" s="10" t="n">
        <v>0</v>
      </c>
      <c r="G206" s="10" t="n">
        <v>1</v>
      </c>
      <c r="H206" s="10" t="n">
        <v>21.34</v>
      </c>
      <c r="I206" s="10" t="n">
        <v>21.34</v>
      </c>
      <c r="J206" s="10" t="n">
        <v>0</v>
      </c>
      <c r="K206" s="10" t="n">
        <v>1</v>
      </c>
      <c r="L206" s="10" t="n">
        <v>19.9</v>
      </c>
      <c r="M206" s="10" t="n">
        <v>19.9</v>
      </c>
      <c r="N206" s="10" t="n">
        <v>0</v>
      </c>
      <c r="O206" s="10" t="n">
        <v>3</v>
      </c>
      <c r="P206" s="10" t="n">
        <v>62.84</v>
      </c>
      <c r="Q206" s="10" t="n">
        <v>62.84</v>
      </c>
      <c r="R206" s="10" t="n">
        <v>0</v>
      </c>
      <c r="S206" s="9" t="inlineStr">
        <is>
          <t>個別</t>
        </is>
      </c>
      <c r="T206" s="9" t="n">
        <v>0</v>
      </c>
      <c r="U206" s="9" t="inlineStr">
        <is>
          <t>アクティブ</t>
        </is>
      </c>
      <c r="V206" s="9" t="n"/>
      <c r="W206" s="9" t="n"/>
    </row>
    <row r="207">
      <c r="A207" s="7" t="n">
        <v>570097</v>
      </c>
      <c r="B207" s="7" t="inlineStr">
        <is>
          <t>Ino, Daisuke</t>
        </is>
      </c>
      <c r="C207" s="8" t="n">
        <v>5</v>
      </c>
      <c r="D207" s="8" t="n">
        <v>31.41</v>
      </c>
      <c r="E207" s="8" t="n">
        <v>15.71</v>
      </c>
      <c r="F207" s="8" t="n">
        <v>15.71</v>
      </c>
      <c r="G207" s="8" t="n">
        <v>3</v>
      </c>
      <c r="H207" s="8" t="n">
        <v>20.66</v>
      </c>
      <c r="I207" s="8" t="n">
        <v>10.33</v>
      </c>
      <c r="J207" s="8" t="n">
        <v>10.33</v>
      </c>
      <c r="K207" s="8" t="n">
        <v>3</v>
      </c>
      <c r="L207" s="8" t="n">
        <v>10.17</v>
      </c>
      <c r="M207" s="8" t="n">
        <v>5.09</v>
      </c>
      <c r="N207" s="8" t="n">
        <v>5.09</v>
      </c>
      <c r="O207" s="8" t="n">
        <v>11</v>
      </c>
      <c r="P207" s="8" t="n">
        <v>62.25</v>
      </c>
      <c r="Q207" s="8" t="n">
        <v>31.12</v>
      </c>
      <c r="R207" s="8" t="n">
        <v>31.12</v>
      </c>
      <c r="S207" s="7" t="inlineStr">
        <is>
          <t>1.道下G</t>
        </is>
      </c>
      <c r="T207" s="7" t="inlineStr">
        <is>
          <t>佐藤G</t>
        </is>
      </c>
      <c r="U207" s="7" t="inlineStr">
        <is>
          <t>移籍</t>
        </is>
      </c>
      <c r="V207" s="7" t="n"/>
      <c r="W207" s="7" t="inlineStr">
        <is>
          <t>道下グループ・・・イントロデューサー分も、マネージャーフィー0.25%も道下さんに報告、Goo分は0.25%</t>
        </is>
      </c>
    </row>
    <row r="208">
      <c r="A208" s="9" t="n">
        <v>565312</v>
      </c>
      <c r="B208" s="9" t="inlineStr">
        <is>
          <t>Kume, Yoshinobu</t>
        </is>
      </c>
      <c r="C208" s="10" t="n">
        <v>2</v>
      </c>
      <c r="D208" s="10" t="n">
        <v>20.45</v>
      </c>
      <c r="E208" s="10" t="n">
        <v>20.45</v>
      </c>
      <c r="F208" s="10" t="n">
        <v>0</v>
      </c>
      <c r="G208" s="10" t="n">
        <v>2</v>
      </c>
      <c r="H208" s="10" t="n">
        <v>21.17</v>
      </c>
      <c r="I208" s="10" t="n">
        <v>21.17</v>
      </c>
      <c r="J208" s="10" t="n">
        <v>0</v>
      </c>
      <c r="K208" s="10" t="n">
        <v>2</v>
      </c>
      <c r="L208" s="10" t="n">
        <v>20.52</v>
      </c>
      <c r="M208" s="10" t="n">
        <v>20.52</v>
      </c>
      <c r="N208" s="10" t="n">
        <v>0</v>
      </c>
      <c r="O208" s="10" t="n">
        <v>6</v>
      </c>
      <c r="P208" s="10" t="n">
        <v>62.14</v>
      </c>
      <c r="Q208" s="10" t="n">
        <v>62.14</v>
      </c>
      <c r="R208" s="10" t="n">
        <v>0</v>
      </c>
      <c r="S208" s="9" t="inlineStr">
        <is>
          <t>個別</t>
        </is>
      </c>
      <c r="T208" s="9" t="n">
        <v>0</v>
      </c>
      <c r="U208" s="9" t="inlineStr">
        <is>
          <t>アクティブ</t>
        </is>
      </c>
      <c r="V208" s="9" t="n"/>
      <c r="W208" s="9" t="n"/>
    </row>
    <row r="209">
      <c r="A209" s="7" t="n">
        <v>573731</v>
      </c>
      <c r="B209" s="7" t="inlineStr">
        <is>
          <t>Cloud Edge Ltd</t>
        </is>
      </c>
      <c r="C209" s="8" t="n">
        <v>2</v>
      </c>
      <c r="D209" s="8" t="n">
        <v>19.14</v>
      </c>
      <c r="E209" s="8" t="n">
        <v>19.14</v>
      </c>
      <c r="F209" s="8" t="n">
        <v>0</v>
      </c>
      <c r="G209" s="8" t="n">
        <v>3</v>
      </c>
      <c r="H209" s="8" t="n">
        <v>20.59</v>
      </c>
      <c r="I209" s="8" t="n">
        <v>20.59</v>
      </c>
      <c r="J209" s="8" t="n">
        <v>0</v>
      </c>
      <c r="K209" s="8" t="n">
        <v>3</v>
      </c>
      <c r="L209" s="8" t="n">
        <v>21.47</v>
      </c>
      <c r="M209" s="8" t="n">
        <v>21.47</v>
      </c>
      <c r="N209" s="8" t="n">
        <v>0</v>
      </c>
      <c r="O209" s="8" t="n">
        <v>8</v>
      </c>
      <c r="P209" s="8" t="n">
        <v>61.21</v>
      </c>
      <c r="Q209" s="8" t="n">
        <v>61.21</v>
      </c>
      <c r="R209" s="8" t="n">
        <v>0</v>
      </c>
      <c r="S209" s="7" t="inlineStr">
        <is>
          <t>5.Cloud Edge (March)</t>
        </is>
      </c>
      <c r="T209" s="7" t="n">
        <v>0</v>
      </c>
      <c r="U209" s="7" t="inlineStr">
        <is>
          <t>アクティブ</t>
        </is>
      </c>
      <c r="V209" s="7" t="n"/>
      <c r="W209" s="7" t="n"/>
    </row>
    <row r="210">
      <c r="A210" s="9" t="n">
        <v>571120</v>
      </c>
      <c r="B210" s="9" t="inlineStr">
        <is>
          <t>Nishida, Hayato</t>
        </is>
      </c>
      <c r="C210" s="10" t="n">
        <v>4</v>
      </c>
      <c r="D210" s="10" t="n">
        <v>18.57</v>
      </c>
      <c r="E210" s="10" t="n">
        <v>18.57</v>
      </c>
      <c r="F210" s="10" t="n">
        <v>0</v>
      </c>
      <c r="G210" s="10" t="n">
        <v>4</v>
      </c>
      <c r="H210" s="10" t="n">
        <v>22.08</v>
      </c>
      <c r="I210" s="10" t="n">
        <v>22.08</v>
      </c>
      <c r="J210" s="10" t="n">
        <v>0</v>
      </c>
      <c r="K210" s="10" t="n">
        <v>3</v>
      </c>
      <c r="L210" s="10" t="n">
        <v>20.34</v>
      </c>
      <c r="M210" s="10" t="n">
        <v>20.34</v>
      </c>
      <c r="N210" s="10" t="n">
        <v>0</v>
      </c>
      <c r="O210" s="10" t="n">
        <v>11</v>
      </c>
      <c r="P210" s="10" t="n">
        <v>60.98</v>
      </c>
      <c r="Q210" s="10" t="n">
        <v>60.98</v>
      </c>
      <c r="R210" s="10" t="n">
        <v>0</v>
      </c>
      <c r="S210" s="9" t="inlineStr">
        <is>
          <t>個別</t>
        </is>
      </c>
      <c r="T210" s="9" t="n">
        <v>0</v>
      </c>
      <c r="U210" s="9" t="inlineStr">
        <is>
          <t>既得確保</t>
        </is>
      </c>
      <c r="V210" s="9" t="n"/>
      <c r="W210" s="9" t="n"/>
    </row>
    <row r="211">
      <c r="A211" s="7" t="n">
        <v>577517</v>
      </c>
      <c r="B211" s="7" t="inlineStr">
        <is>
          <t>Sakai, Jumpei</t>
        </is>
      </c>
      <c r="C211" s="8" t="n">
        <v>2</v>
      </c>
      <c r="D211" s="8" t="n">
        <v>12.77</v>
      </c>
      <c r="E211" s="8" t="n">
        <v>6.38</v>
      </c>
      <c r="F211" s="8" t="n">
        <v>6.38</v>
      </c>
      <c r="G211" s="8" t="n">
        <v>2</v>
      </c>
      <c r="H211" s="8" t="n">
        <v>20.23</v>
      </c>
      <c r="I211" s="8" t="n">
        <v>10.12</v>
      </c>
      <c r="J211" s="8" t="n">
        <v>10.12</v>
      </c>
      <c r="K211" s="8" t="n">
        <v>2</v>
      </c>
      <c r="L211" s="8" t="n">
        <v>27.41</v>
      </c>
      <c r="M211" s="8" t="n">
        <v>13.71</v>
      </c>
      <c r="N211" s="8" t="n">
        <v>13.71</v>
      </c>
      <c r="O211" s="8" t="n">
        <v>6</v>
      </c>
      <c r="P211" s="8" t="n">
        <v>60.41</v>
      </c>
      <c r="Q211" s="8" t="n">
        <v>30.21</v>
      </c>
      <c r="R211" s="8" t="n">
        <v>30.21</v>
      </c>
      <c r="S211" s="7" t="inlineStr">
        <is>
          <t>1.道下G</t>
        </is>
      </c>
      <c r="T211" s="7" t="inlineStr">
        <is>
          <t>杉本G</t>
        </is>
      </c>
      <c r="U211" s="7" t="inlineStr">
        <is>
          <t>移籍</t>
        </is>
      </c>
      <c r="V211" s="7" t="n"/>
      <c r="W211" s="7" t="inlineStr">
        <is>
          <t>道下グループ・・・イントロデューサー分も、マネージャーフィー0.25%も道下さんに報告、Goo分は0.25%</t>
        </is>
      </c>
    </row>
    <row r="212">
      <c r="A212" s="9" t="n">
        <v>578204</v>
      </c>
      <c r="B212" s="9" t="inlineStr">
        <is>
          <t>Watabe, Natsuko</t>
        </is>
      </c>
      <c r="C212" s="10" t="n">
        <v>4</v>
      </c>
      <c r="D212" s="10" t="n">
        <v>9.57</v>
      </c>
      <c r="E212" s="10" t="n">
        <v>4.78</v>
      </c>
      <c r="F212" s="10" t="n">
        <v>4.78</v>
      </c>
      <c r="G212" s="10" t="n">
        <v>7</v>
      </c>
      <c r="H212" s="10" t="n">
        <v>17.45</v>
      </c>
      <c r="I212" s="10" t="n">
        <v>8.73</v>
      </c>
      <c r="J212" s="10" t="n">
        <v>8.73</v>
      </c>
      <c r="K212" s="10" t="n">
        <v>9</v>
      </c>
      <c r="L212" s="10" t="n">
        <v>32.06</v>
      </c>
      <c r="M212" s="10" t="n">
        <v>16.03</v>
      </c>
      <c r="N212" s="10" t="n">
        <v>16.03</v>
      </c>
      <c r="O212" s="10" t="n">
        <v>20</v>
      </c>
      <c r="P212" s="10" t="n">
        <v>59.09</v>
      </c>
      <c r="Q212" s="10" t="n">
        <v>29.54</v>
      </c>
      <c r="R212" s="10" t="n">
        <v>29.54</v>
      </c>
      <c r="S212" s="9" t="inlineStr">
        <is>
          <t>12.脇坂G</t>
        </is>
      </c>
      <c r="T212" s="9" t="inlineStr">
        <is>
          <t>4 Capital 傘下</t>
        </is>
      </c>
      <c r="U212" s="9" t="inlineStr">
        <is>
          <t>アクティブ</t>
        </is>
      </c>
      <c r="V212" s="9" t="n"/>
      <c r="W212" s="9" t="inlineStr">
        <is>
          <t>脇坂グループ・・・イントロデューサー分も、マネージャーフィー0.25%も脇坂さんに報告、Goo分は0.25%</t>
        </is>
      </c>
    </row>
    <row r="213">
      <c r="A213" s="7" t="n">
        <v>564716</v>
      </c>
      <c r="B213" s="7" t="inlineStr">
        <is>
          <t>Shiroma Higa, Pablo Tadashi</t>
        </is>
      </c>
      <c r="C213" s="8" t="n">
        <v>1</v>
      </c>
      <c r="D213" s="8" t="n">
        <v>19.53</v>
      </c>
      <c r="E213" s="8" t="n">
        <v>19.53</v>
      </c>
      <c r="F213" s="8" t="n">
        <v>0</v>
      </c>
      <c r="G213" s="8" t="n">
        <v>1</v>
      </c>
      <c r="H213" s="8" t="n">
        <v>19.91</v>
      </c>
      <c r="I213" s="8" t="n">
        <v>19.91</v>
      </c>
      <c r="J213" s="8" t="n">
        <v>0</v>
      </c>
      <c r="K213" s="8" t="n">
        <v>1</v>
      </c>
      <c r="L213" s="8" t="n">
        <v>19.03</v>
      </c>
      <c r="M213" s="8" t="n">
        <v>19.03</v>
      </c>
      <c r="N213" s="8" t="n">
        <v>0</v>
      </c>
      <c r="O213" s="8" t="n">
        <v>3</v>
      </c>
      <c r="P213" s="8" t="n">
        <v>58.47</v>
      </c>
      <c r="Q213" s="8" t="n">
        <v>58.47</v>
      </c>
      <c r="R213" s="8" t="n">
        <v>0</v>
      </c>
      <c r="S213" s="7" t="inlineStr">
        <is>
          <t>16.MJP (Gift)</t>
        </is>
      </c>
      <c r="T213" s="7" t="n">
        <v>0</v>
      </c>
      <c r="U213" s="7" t="inlineStr">
        <is>
          <t>アクティブ</t>
        </is>
      </c>
      <c r="V213" s="7" t="n"/>
      <c r="W213" s="7" t="n"/>
    </row>
    <row r="214">
      <c r="A214" s="9" t="n">
        <v>574528</v>
      </c>
      <c r="B214" s="9" t="inlineStr">
        <is>
          <t>T-edge Co., Ltd.</t>
        </is>
      </c>
      <c r="C214" s="10" t="n">
        <v>3</v>
      </c>
      <c r="D214" s="10" t="n">
        <v>25.99</v>
      </c>
      <c r="E214" s="10" t="n">
        <v>7.01</v>
      </c>
      <c r="F214" s="10" t="n">
        <v>0</v>
      </c>
      <c r="G214" s="10" t="n">
        <v>3</v>
      </c>
      <c r="H214" s="10" t="n">
        <v>30.67</v>
      </c>
      <c r="I214" s="10" t="n">
        <v>8.699999999999999</v>
      </c>
      <c r="J214" s="10" t="n">
        <v>0</v>
      </c>
      <c r="K214" s="10" t="n">
        <v>4</v>
      </c>
      <c r="L214" s="10" t="n">
        <v>33.48</v>
      </c>
      <c r="M214" s="10" t="n">
        <v>10.22</v>
      </c>
      <c r="N214" s="10" t="n">
        <v>0</v>
      </c>
      <c r="O214" s="10" t="n">
        <v>10</v>
      </c>
      <c r="P214" s="10" t="n">
        <v>90.15000000000001</v>
      </c>
      <c r="Q214" s="10" t="n">
        <v>25.93</v>
      </c>
      <c r="R214" s="10" t="n">
        <v>0</v>
      </c>
      <c r="S214" s="9" t="inlineStr">
        <is>
          <t>個別</t>
        </is>
      </c>
      <c r="T214" s="9" t="inlineStr">
        <is>
          <t>T-edgeG</t>
        </is>
      </c>
      <c r="U214" s="9" t="inlineStr">
        <is>
          <t>アクティブ</t>
        </is>
      </c>
      <c r="V214" s="9" t="n"/>
      <c r="W214" s="9" t="n"/>
    </row>
    <row r="215">
      <c r="A215" s="7" t="n">
        <v>564728</v>
      </c>
      <c r="B215" s="7" t="inlineStr">
        <is>
          <t>Komagata, Shiho</t>
        </is>
      </c>
      <c r="C215" s="8" t="n">
        <v>2</v>
      </c>
      <c r="D215" s="8" t="n">
        <v>16.99</v>
      </c>
      <c r="E215" s="8" t="n">
        <v>8.49</v>
      </c>
      <c r="F215" s="8" t="n">
        <v>8.49</v>
      </c>
      <c r="G215" s="8" t="n">
        <v>2</v>
      </c>
      <c r="H215" s="8" t="n">
        <v>19.34</v>
      </c>
      <c r="I215" s="8" t="n">
        <v>9.67</v>
      </c>
      <c r="J215" s="8" t="n">
        <v>9.67</v>
      </c>
      <c r="K215" s="8" t="n">
        <v>2</v>
      </c>
      <c r="L215" s="8" t="n">
        <v>21.66</v>
      </c>
      <c r="M215" s="8" t="n">
        <v>10.83</v>
      </c>
      <c r="N215" s="8" t="n">
        <v>10.83</v>
      </c>
      <c r="O215" s="8" t="n">
        <v>6</v>
      </c>
      <c r="P215" s="8" t="n">
        <v>57.99</v>
      </c>
      <c r="Q215" s="8" t="n">
        <v>29</v>
      </c>
      <c r="R215" s="8" t="n">
        <v>29</v>
      </c>
      <c r="S215" s="7" t="inlineStr">
        <is>
          <t>1.道下G</t>
        </is>
      </c>
      <c r="T215" s="7" t="inlineStr">
        <is>
          <t>川添G</t>
        </is>
      </c>
      <c r="U215" s="7" t="inlineStr">
        <is>
          <t>移籍</t>
        </is>
      </c>
      <c r="V215" s="7" t="n"/>
      <c r="W215" s="7" t="inlineStr">
        <is>
          <t>道下グループ・・・イントロデューサー分も、マネージャーフィー0.25%も道下さんに報告、Goo分は0.25%</t>
        </is>
      </c>
    </row>
    <row r="216">
      <c r="A216" s="9" t="n">
        <v>575231</v>
      </c>
      <c r="B216" s="9" t="inlineStr">
        <is>
          <t>Domae, Shingo</t>
        </is>
      </c>
      <c r="C216" s="10" t="n">
        <v>7</v>
      </c>
      <c r="D216" s="10" t="n">
        <v>10.28</v>
      </c>
      <c r="E216" s="10" t="n">
        <v>10.28</v>
      </c>
      <c r="F216" s="10" t="n">
        <v>0</v>
      </c>
      <c r="G216" s="10" t="n">
        <v>7</v>
      </c>
      <c r="H216" s="10" t="n">
        <v>18.8</v>
      </c>
      <c r="I216" s="10" t="n">
        <v>18.8</v>
      </c>
      <c r="J216" s="10" t="n">
        <v>0</v>
      </c>
      <c r="K216" s="10" t="n">
        <v>7</v>
      </c>
      <c r="L216" s="10" t="n">
        <v>26.45</v>
      </c>
      <c r="M216" s="10" t="n">
        <v>26.45</v>
      </c>
      <c r="N216" s="10" t="n">
        <v>0</v>
      </c>
      <c r="O216" s="10" t="n">
        <v>21</v>
      </c>
      <c r="P216" s="10" t="n">
        <v>55.53</v>
      </c>
      <c r="Q216" s="10" t="n">
        <v>55.53</v>
      </c>
      <c r="R216" s="10" t="n">
        <v>0</v>
      </c>
      <c r="S216" s="9" t="n">
        <v>0</v>
      </c>
      <c r="T216" s="9" t="n">
        <v>0</v>
      </c>
      <c r="U216" s="9" t="inlineStr">
        <is>
          <t>解除済</t>
        </is>
      </c>
      <c r="V216" s="9" t="n"/>
      <c r="W216" s="9" t="n"/>
    </row>
    <row r="217">
      <c r="A217" s="7" t="n">
        <v>572706</v>
      </c>
      <c r="B217" s="7" t="inlineStr">
        <is>
          <t>Sasaki, Kenta</t>
        </is>
      </c>
      <c r="C217" s="8" t="n">
        <v>1</v>
      </c>
      <c r="D217" s="8" t="n">
        <v>15.57</v>
      </c>
      <c r="E217" s="8" t="n">
        <v>15.57</v>
      </c>
      <c r="F217" s="8" t="n">
        <v>0</v>
      </c>
      <c r="G217" s="8" t="n">
        <v>1</v>
      </c>
      <c r="H217" s="8" t="n">
        <v>17.67</v>
      </c>
      <c r="I217" s="8" t="n">
        <v>17.67</v>
      </c>
      <c r="J217" s="8" t="n">
        <v>0</v>
      </c>
      <c r="K217" s="8" t="n">
        <v>1</v>
      </c>
      <c r="L217" s="8" t="n">
        <v>19.57</v>
      </c>
      <c r="M217" s="8" t="n">
        <v>19.57</v>
      </c>
      <c r="N217" s="8" t="n">
        <v>0</v>
      </c>
      <c r="O217" s="8" t="n">
        <v>3</v>
      </c>
      <c r="P217" s="8" t="n">
        <v>52.82</v>
      </c>
      <c r="Q217" s="8" t="n">
        <v>52.82</v>
      </c>
      <c r="R217" s="8" t="n">
        <v>0</v>
      </c>
      <c r="S217" s="7" t="inlineStr">
        <is>
          <t>報告しない＞他社</t>
        </is>
      </c>
      <c r="T217" s="7" t="n"/>
      <c r="U217" s="7" t="n"/>
      <c r="V217" s="7" t="n"/>
      <c r="W217" s="7" t="n"/>
    </row>
    <row r="218">
      <c r="A218" s="9" t="n">
        <v>569486</v>
      </c>
      <c r="B218" s="9" t="inlineStr">
        <is>
          <t>Yamauchi, Daisuke</t>
        </is>
      </c>
      <c r="C218" s="10" t="n">
        <v>8</v>
      </c>
      <c r="D218" s="10" t="n">
        <v>15.84</v>
      </c>
      <c r="E218" s="10" t="n">
        <v>15.84</v>
      </c>
      <c r="F218" s="10" t="n">
        <v>0</v>
      </c>
      <c r="G218" s="10" t="n">
        <v>8</v>
      </c>
      <c r="H218" s="10" t="n">
        <v>18.55</v>
      </c>
      <c r="I218" s="10" t="n">
        <v>18.55</v>
      </c>
      <c r="J218" s="10" t="n">
        <v>0</v>
      </c>
      <c r="K218" s="10" t="n">
        <v>6</v>
      </c>
      <c r="L218" s="10" t="n">
        <v>15.84</v>
      </c>
      <c r="M218" s="10" t="n">
        <v>15.84</v>
      </c>
      <c r="N218" s="10" t="n">
        <v>0</v>
      </c>
      <c r="O218" s="10" t="n">
        <v>22</v>
      </c>
      <c r="P218" s="10" t="n">
        <v>50.23</v>
      </c>
      <c r="Q218" s="10" t="n">
        <v>50.23</v>
      </c>
      <c r="R218" s="10" t="n">
        <v>0</v>
      </c>
      <c r="S218" s="9" t="inlineStr">
        <is>
          <t>3.CHARM Co., Ltd.</t>
        </is>
      </c>
      <c r="T218" s="9" t="n">
        <v>0</v>
      </c>
      <c r="U218" s="9" t="inlineStr">
        <is>
          <t>既得確保</t>
        </is>
      </c>
      <c r="V218" s="9" t="n"/>
      <c r="W218" s="9" t="n"/>
    </row>
    <row r="219">
      <c r="A219" s="7" t="n">
        <v>568724</v>
      </c>
      <c r="B219" s="7" t="inlineStr">
        <is>
          <t>Kitamura, Yuki</t>
        </is>
      </c>
      <c r="C219" s="8" t="n">
        <v>2</v>
      </c>
      <c r="D219" s="8" t="n">
        <v>15.73</v>
      </c>
      <c r="E219" s="8" t="n">
        <v>15.73</v>
      </c>
      <c r="F219" s="8" t="n">
        <v>0</v>
      </c>
      <c r="G219" s="8" t="n">
        <v>2</v>
      </c>
      <c r="H219" s="8" t="n">
        <v>17</v>
      </c>
      <c r="I219" s="8" t="n">
        <v>17</v>
      </c>
      <c r="J219" s="8" t="n">
        <v>0</v>
      </c>
      <c r="K219" s="8" t="n">
        <v>2</v>
      </c>
      <c r="L219" s="8" t="n">
        <v>16.95</v>
      </c>
      <c r="M219" s="8" t="n">
        <v>16.95</v>
      </c>
      <c r="N219" s="8" t="n">
        <v>0</v>
      </c>
      <c r="O219" s="8" t="n">
        <v>6</v>
      </c>
      <c r="P219" s="8" t="n">
        <v>49.68</v>
      </c>
      <c r="Q219" s="8" t="n">
        <v>49.68</v>
      </c>
      <c r="R219" s="8" t="n">
        <v>0</v>
      </c>
      <c r="S219" s="7" t="inlineStr">
        <is>
          <t>1.BANK</t>
        </is>
      </c>
      <c r="T219" s="7" t="inlineStr">
        <is>
          <t>北村G</t>
        </is>
      </c>
      <c r="U219" s="7" t="inlineStr">
        <is>
          <t>アクティブ</t>
        </is>
      </c>
      <c r="V219" s="7" t="n"/>
      <c r="W219" s="7" t="n"/>
    </row>
    <row r="220">
      <c r="A220" s="9" t="n">
        <v>578580</v>
      </c>
      <c r="B220" s="9" t="inlineStr">
        <is>
          <t>Takase, Kensuke</t>
        </is>
      </c>
      <c r="C220" s="10" t="n">
        <v>2</v>
      </c>
      <c r="D220" s="10" t="n">
        <v>15.15</v>
      </c>
      <c r="E220" s="10" t="n">
        <v>15.15</v>
      </c>
      <c r="F220" s="10" t="n">
        <v>0</v>
      </c>
      <c r="G220" s="10" t="n">
        <v>3</v>
      </c>
      <c r="H220" s="10" t="n">
        <v>18.43</v>
      </c>
      <c r="I220" s="10" t="n">
        <v>18.03</v>
      </c>
      <c r="J220" s="10" t="n">
        <v>0</v>
      </c>
      <c r="K220" s="10" t="n">
        <v>5</v>
      </c>
      <c r="L220" s="10" t="n">
        <v>16.62</v>
      </c>
      <c r="M220" s="10" t="n">
        <v>14.59</v>
      </c>
      <c r="N220" s="10" t="n">
        <v>0</v>
      </c>
      <c r="O220" s="10" t="n">
        <v>10</v>
      </c>
      <c r="P220" s="10" t="n">
        <v>50.2</v>
      </c>
      <c r="Q220" s="10" t="n">
        <v>47.77</v>
      </c>
      <c r="R220" s="10" t="n">
        <v>0</v>
      </c>
      <c r="S220" s="9" t="inlineStr">
        <is>
          <t>個別</t>
        </is>
      </c>
      <c r="T220" s="9" t="n">
        <v>0</v>
      </c>
      <c r="U220" s="9" t="inlineStr">
        <is>
          <t>アクティブ</t>
        </is>
      </c>
      <c r="V220" s="9" t="n"/>
      <c r="W220" s="9" t="n"/>
    </row>
    <row r="221">
      <c r="A221" s="7" t="n">
        <v>573763</v>
      </c>
      <c r="B221" s="7" t="inlineStr">
        <is>
          <t>Zoom In Ltd</t>
        </is>
      </c>
      <c r="C221" s="8" t="n">
        <v>2</v>
      </c>
      <c r="D221" s="8" t="n">
        <v>13.67</v>
      </c>
      <c r="E221" s="8" t="n">
        <v>13.67</v>
      </c>
      <c r="F221" s="8" t="n">
        <v>0</v>
      </c>
      <c r="G221" s="8" t="n">
        <v>2</v>
      </c>
      <c r="H221" s="8" t="n">
        <v>16.84</v>
      </c>
      <c r="I221" s="8" t="n">
        <v>16.84</v>
      </c>
      <c r="J221" s="8" t="n">
        <v>0</v>
      </c>
      <c r="K221" s="8" t="n">
        <v>2</v>
      </c>
      <c r="L221" s="8" t="n">
        <v>18.41</v>
      </c>
      <c r="M221" s="8" t="n">
        <v>18.41</v>
      </c>
      <c r="N221" s="8" t="n">
        <v>0</v>
      </c>
      <c r="O221" s="8" t="n">
        <v>6</v>
      </c>
      <c r="P221" s="8" t="n">
        <v>48.92</v>
      </c>
      <c r="Q221" s="8" t="n">
        <v>48.92</v>
      </c>
      <c r="R221" s="8" t="n">
        <v>0</v>
      </c>
      <c r="S221" s="7" t="inlineStr">
        <is>
          <t>19.zoom</t>
        </is>
      </c>
      <c r="T221" s="7" t="n">
        <v>0</v>
      </c>
      <c r="U221" s="7" t="inlineStr">
        <is>
          <t>アクティブ</t>
        </is>
      </c>
      <c r="V221" s="7" t="n"/>
      <c r="W221" s="7" t="n"/>
    </row>
    <row r="222">
      <c r="A222" s="9" t="n">
        <v>511473</v>
      </c>
      <c r="B222" s="9" t="inlineStr">
        <is>
          <t>Wong, Teresa Man Fung</t>
        </is>
      </c>
      <c r="C222" s="10" t="n">
        <v>1</v>
      </c>
      <c r="D222" s="10" t="n">
        <v>15.59</v>
      </c>
      <c r="E222" s="10" t="n">
        <v>15.59</v>
      </c>
      <c r="F222" s="10" t="n">
        <v>0</v>
      </c>
      <c r="G222" s="10" t="n">
        <v>1</v>
      </c>
      <c r="H222" s="10" t="n">
        <v>16.68</v>
      </c>
      <c r="I222" s="10" t="n">
        <v>16.68</v>
      </c>
      <c r="J222" s="10" t="n">
        <v>0</v>
      </c>
      <c r="K222" s="10" t="n">
        <v>1</v>
      </c>
      <c r="L222" s="10" t="n">
        <v>16.5</v>
      </c>
      <c r="M222" s="10" t="n">
        <v>16.5</v>
      </c>
      <c r="N222" s="10" t="n">
        <v>0</v>
      </c>
      <c r="O222" s="10" t="n">
        <v>3</v>
      </c>
      <c r="P222" s="10" t="n">
        <v>48.77</v>
      </c>
      <c r="Q222" s="10" t="n">
        <v>48.77</v>
      </c>
      <c r="R222" s="10" t="n">
        <v>0</v>
      </c>
      <c r="S222" s="9" t="inlineStr">
        <is>
          <t>報告しない＞他社</t>
        </is>
      </c>
      <c r="T222" s="9" t="n"/>
      <c r="U222" s="9" t="n"/>
      <c r="V222" s="9" t="n"/>
      <c r="W222" s="9" t="n"/>
    </row>
    <row r="223">
      <c r="A223" s="7" t="n">
        <v>563791</v>
      </c>
      <c r="B223" s="7" t="inlineStr">
        <is>
          <t>Oikawa, Hideyuki</t>
        </is>
      </c>
      <c r="C223" s="8" t="n">
        <v>2</v>
      </c>
      <c r="D223" s="8" t="n">
        <v>15.28</v>
      </c>
      <c r="E223" s="8" t="n">
        <v>7.64</v>
      </c>
      <c r="F223" s="8" t="n">
        <v>7.64</v>
      </c>
      <c r="G223" s="8" t="n">
        <v>2</v>
      </c>
      <c r="H223" s="8" t="n">
        <v>16.71</v>
      </c>
      <c r="I223" s="8" t="n">
        <v>8.359999999999999</v>
      </c>
      <c r="J223" s="8" t="n">
        <v>8.359999999999999</v>
      </c>
      <c r="K223" s="8" t="n">
        <v>2</v>
      </c>
      <c r="L223" s="8" t="n">
        <v>16.73</v>
      </c>
      <c r="M223" s="8" t="n">
        <v>8.369999999999999</v>
      </c>
      <c r="N223" s="8" t="n">
        <v>8.369999999999999</v>
      </c>
      <c r="O223" s="8" t="n">
        <v>6</v>
      </c>
      <c r="P223" s="8" t="n">
        <v>48.72</v>
      </c>
      <c r="Q223" s="8" t="n">
        <v>24.36</v>
      </c>
      <c r="R223" s="8" t="n">
        <v>24.36</v>
      </c>
      <c r="S223" s="7" t="inlineStr">
        <is>
          <t>1.道下G</t>
        </is>
      </c>
      <c r="T223" s="7" t="inlineStr">
        <is>
          <t>川添G</t>
        </is>
      </c>
      <c r="U223" s="7" t="inlineStr">
        <is>
          <t>移籍</t>
        </is>
      </c>
      <c r="V223" s="7" t="n"/>
      <c r="W223" s="7" t="inlineStr">
        <is>
          <t>道下グループ・・・イントロデューサー分も、マネージャーフィー0.25%も道下さんに報告、Goo分は0.25%</t>
        </is>
      </c>
    </row>
    <row r="224">
      <c r="A224" s="9" t="n">
        <v>573394</v>
      </c>
      <c r="B224" s="9" t="inlineStr">
        <is>
          <t>Yamaji, Kohei</t>
        </is>
      </c>
      <c r="C224" s="10" t="n">
        <v>2</v>
      </c>
      <c r="D224" s="10" t="n">
        <v>10.69</v>
      </c>
      <c r="E224" s="10" t="n">
        <v>10.69</v>
      </c>
      <c r="F224" s="10" t="n">
        <v>0</v>
      </c>
      <c r="G224" s="10" t="n">
        <v>2</v>
      </c>
      <c r="H224" s="10" t="n">
        <v>16.13</v>
      </c>
      <c r="I224" s="10" t="n">
        <v>16.13</v>
      </c>
      <c r="J224" s="10" t="n">
        <v>0</v>
      </c>
      <c r="K224" s="10" t="n">
        <v>2</v>
      </c>
      <c r="L224" s="10" t="n">
        <v>20.85</v>
      </c>
      <c r="M224" s="10" t="n">
        <v>20.85</v>
      </c>
      <c r="N224" s="10" t="n">
        <v>0</v>
      </c>
      <c r="O224" s="10" t="n">
        <v>6</v>
      </c>
      <c r="P224" s="10" t="n">
        <v>47.67</v>
      </c>
      <c r="Q224" s="10" t="n">
        <v>47.67</v>
      </c>
      <c r="R224" s="10" t="n">
        <v>0</v>
      </c>
      <c r="S224" s="9" t="n">
        <v>0</v>
      </c>
      <c r="T224" s="9" t="n">
        <v>0</v>
      </c>
      <c r="U224" s="9" t="inlineStr">
        <is>
          <t>解除済</t>
        </is>
      </c>
      <c r="V224" s="9" t="n"/>
      <c r="W224" s="9" t="n"/>
    </row>
    <row r="225">
      <c r="A225" s="7" t="n">
        <v>574629</v>
      </c>
      <c r="B225" s="7" t="inlineStr">
        <is>
          <t>Miyuki Goke</t>
        </is>
      </c>
      <c r="C225" s="8" t="n">
        <v>2</v>
      </c>
      <c r="D225" s="8" t="n">
        <v>13.08</v>
      </c>
      <c r="E225" s="8" t="n">
        <v>13.08</v>
      </c>
      <c r="F225" s="8" t="n">
        <v>0</v>
      </c>
      <c r="G225" s="8" t="n">
        <v>3</v>
      </c>
      <c r="H225" s="8" t="n">
        <v>16.02</v>
      </c>
      <c r="I225" s="8" t="n">
        <v>16.02</v>
      </c>
      <c r="J225" s="8" t="n">
        <v>0</v>
      </c>
      <c r="K225" s="8" t="n">
        <v>3</v>
      </c>
      <c r="L225" s="8" t="n">
        <v>17.32</v>
      </c>
      <c r="M225" s="8" t="n">
        <v>17.32</v>
      </c>
      <c r="N225" s="8" t="n">
        <v>0</v>
      </c>
      <c r="O225" s="8" t="n">
        <v>8</v>
      </c>
      <c r="P225" s="8" t="n">
        <v>46.42</v>
      </c>
      <c r="Q225" s="8" t="n">
        <v>46.42</v>
      </c>
      <c r="R225" s="8" t="n">
        <v>0</v>
      </c>
      <c r="S225" s="7" t="inlineStr">
        <is>
          <t>個別</t>
        </is>
      </c>
      <c r="T225" s="7" t="inlineStr">
        <is>
          <t>大山さん</t>
        </is>
      </c>
      <c r="U225" s="7" t="inlineStr">
        <is>
          <t>アクティブ</t>
        </is>
      </c>
      <c r="V225" s="7" t="n"/>
      <c r="W225" s="7" t="n"/>
    </row>
    <row r="226">
      <c r="A226" s="9" t="n">
        <v>569381</v>
      </c>
      <c r="B226" s="9" t="inlineStr">
        <is>
          <t>Kawai, Kakeru</t>
        </is>
      </c>
      <c r="C226" s="10" t="n">
        <v>1</v>
      </c>
      <c r="D226" s="10" t="n">
        <v>13.89</v>
      </c>
      <c r="E226" s="10" t="n">
        <v>13.89</v>
      </c>
      <c r="F226" s="10" t="n">
        <v>0</v>
      </c>
      <c r="G226" s="10" t="n">
        <v>1</v>
      </c>
      <c r="H226" s="10" t="n">
        <v>15.48</v>
      </c>
      <c r="I226" s="10" t="n">
        <v>15.48</v>
      </c>
      <c r="J226" s="10" t="n">
        <v>0</v>
      </c>
      <c r="K226" s="10" t="n">
        <v>1</v>
      </c>
      <c r="L226" s="10" t="n">
        <v>16.68</v>
      </c>
      <c r="M226" s="10" t="n">
        <v>16.68</v>
      </c>
      <c r="N226" s="10" t="n">
        <v>0</v>
      </c>
      <c r="O226" s="10" t="n">
        <v>3</v>
      </c>
      <c r="P226" s="10" t="n">
        <v>46.05</v>
      </c>
      <c r="Q226" s="10" t="n">
        <v>46.05</v>
      </c>
      <c r="R226" s="10" t="n">
        <v>0</v>
      </c>
      <c r="S226" s="9" t="inlineStr">
        <is>
          <t>2.旧川村G (Gift)</t>
        </is>
      </c>
      <c r="T226" s="9" t="n">
        <v>0</v>
      </c>
      <c r="U226" s="9" t="inlineStr">
        <is>
          <t>既得確保</t>
        </is>
      </c>
      <c r="V226" s="9" t="n"/>
      <c r="W226" s="9" t="n"/>
    </row>
    <row r="227">
      <c r="A227" s="7" t="n">
        <v>577557</v>
      </c>
      <c r="B227" s="7" t="inlineStr">
        <is>
          <t>Inami, Toshinori</t>
        </is>
      </c>
      <c r="C227" s="8" t="n">
        <v>1</v>
      </c>
      <c r="D227" s="8" t="n">
        <v>15.12</v>
      </c>
      <c r="E227" s="8" t="n">
        <v>15.12</v>
      </c>
      <c r="F227" s="8" t="n">
        <v>0</v>
      </c>
      <c r="G227" s="8" t="n">
        <v>1</v>
      </c>
      <c r="H227" s="8" t="n">
        <v>15.59</v>
      </c>
      <c r="I227" s="8" t="n">
        <v>15.59</v>
      </c>
      <c r="J227" s="8" t="n">
        <v>0</v>
      </c>
      <c r="K227" s="8" t="n">
        <v>1</v>
      </c>
      <c r="L227" s="8" t="n">
        <v>15.03</v>
      </c>
      <c r="M227" s="8" t="n">
        <v>15.03</v>
      </c>
      <c r="N227" s="8" t="n">
        <v>0</v>
      </c>
      <c r="O227" s="8" t="n">
        <v>3</v>
      </c>
      <c r="P227" s="8" t="n">
        <v>45.74</v>
      </c>
      <c r="Q227" s="8" t="n">
        <v>45.74</v>
      </c>
      <c r="R227" s="8" t="n">
        <v>0</v>
      </c>
      <c r="S227" s="7" t="inlineStr">
        <is>
          <t>個別</t>
        </is>
      </c>
      <c r="T227" s="7" t="inlineStr">
        <is>
          <t>遠藤さん</t>
        </is>
      </c>
      <c r="U227" s="7" t="inlineStr">
        <is>
          <t>アクティブ</t>
        </is>
      </c>
      <c r="V227" s="7" t="n"/>
      <c r="W227" s="7" t="n"/>
    </row>
    <row r="228">
      <c r="A228" s="9" t="n">
        <v>572714</v>
      </c>
      <c r="B228" s="9" t="inlineStr">
        <is>
          <t>Ishida, Tomohisa</t>
        </is>
      </c>
      <c r="C228" s="10" t="n">
        <v>2</v>
      </c>
      <c r="D228" s="10" t="n">
        <v>13.32</v>
      </c>
      <c r="E228" s="10" t="n">
        <v>13.32</v>
      </c>
      <c r="F228" s="10" t="n">
        <v>0</v>
      </c>
      <c r="G228" s="10" t="n">
        <v>2</v>
      </c>
      <c r="H228" s="10" t="n">
        <v>15.25</v>
      </c>
      <c r="I228" s="10" t="n">
        <v>15.25</v>
      </c>
      <c r="J228" s="10" t="n">
        <v>0</v>
      </c>
      <c r="K228" s="10" t="n">
        <v>2</v>
      </c>
      <c r="L228" s="10" t="n">
        <v>15.73</v>
      </c>
      <c r="M228" s="10" t="n">
        <v>15.73</v>
      </c>
      <c r="N228" s="10" t="n">
        <v>0</v>
      </c>
      <c r="O228" s="10" t="n">
        <v>6</v>
      </c>
      <c r="P228" s="10" t="n">
        <v>44.3</v>
      </c>
      <c r="Q228" s="10" t="n">
        <v>44.3</v>
      </c>
      <c r="R228" s="10" t="n">
        <v>0</v>
      </c>
      <c r="S228" s="9" t="inlineStr">
        <is>
          <t>3.CHARM Co., Ltd.</t>
        </is>
      </c>
      <c r="T228" s="9" t="n">
        <v>0</v>
      </c>
      <c r="U228" s="9" t="inlineStr">
        <is>
          <t>既得確保</t>
        </is>
      </c>
      <c r="V228" s="9" t="n"/>
      <c r="W228" s="9" t="n"/>
    </row>
    <row r="229">
      <c r="A229" s="7" t="n">
        <v>580178</v>
      </c>
      <c r="B229" s="7" t="inlineStr">
        <is>
          <t>Mane CON Ltd</t>
        </is>
      </c>
      <c r="C229" s="8" t="n">
        <v>3</v>
      </c>
      <c r="D229" s="8" t="n">
        <v>28.33</v>
      </c>
      <c r="E229" s="8" t="n">
        <v>0.12</v>
      </c>
      <c r="F229" s="8" t="n">
        <v>0</v>
      </c>
      <c r="G229" s="8" t="n">
        <v>5</v>
      </c>
      <c r="H229" s="8" t="n">
        <v>40.07</v>
      </c>
      <c r="I229" s="8" t="n">
        <v>11.1</v>
      </c>
      <c r="J229" s="8" t="n">
        <v>0</v>
      </c>
      <c r="K229" s="8" t="n">
        <v>7</v>
      </c>
      <c r="L229" s="8" t="n">
        <v>39.26</v>
      </c>
      <c r="M229" s="8" t="n">
        <v>11.45</v>
      </c>
      <c r="N229" s="8" t="n">
        <v>0</v>
      </c>
      <c r="O229" s="8" t="n">
        <v>15</v>
      </c>
      <c r="P229" s="8" t="n">
        <v>107.66</v>
      </c>
      <c r="Q229" s="8" t="n">
        <v>22.66</v>
      </c>
      <c r="R229" s="8" t="n">
        <v>0</v>
      </c>
      <c r="S229" s="7" t="inlineStr">
        <is>
          <t>20.LLC Ltd</t>
        </is>
      </c>
      <c r="T229" s="7" t="n">
        <v>0</v>
      </c>
      <c r="U229" s="7" t="inlineStr">
        <is>
          <t>アクティブ</t>
        </is>
      </c>
      <c r="V229" s="7" t="n"/>
      <c r="W229" s="7" t="n"/>
    </row>
    <row r="230">
      <c r="A230" s="9" t="n">
        <v>574849</v>
      </c>
      <c r="B230" s="9" t="inlineStr">
        <is>
          <t>Nakamura, Sanshiro</t>
        </is>
      </c>
      <c r="C230" s="10" t="n">
        <v>3</v>
      </c>
      <c r="D230" s="10" t="n">
        <v>6.25</v>
      </c>
      <c r="E230" s="10" t="n">
        <v>3.12</v>
      </c>
      <c r="F230" s="10" t="n">
        <v>3.12</v>
      </c>
      <c r="G230" s="10" t="n">
        <v>5</v>
      </c>
      <c r="H230" s="10" t="n">
        <v>13.09</v>
      </c>
      <c r="I230" s="10" t="n">
        <v>6.54</v>
      </c>
      <c r="J230" s="10" t="n">
        <v>6.54</v>
      </c>
      <c r="K230" s="10" t="n">
        <v>8</v>
      </c>
      <c r="L230" s="10" t="n">
        <v>24</v>
      </c>
      <c r="M230" s="10" t="n">
        <v>12</v>
      </c>
      <c r="N230" s="10" t="n">
        <v>12</v>
      </c>
      <c r="O230" s="10" t="n">
        <v>16</v>
      </c>
      <c r="P230" s="10" t="n">
        <v>43.34</v>
      </c>
      <c r="Q230" s="10" t="n">
        <v>21.67</v>
      </c>
      <c r="R230" s="10" t="n">
        <v>21.67</v>
      </c>
      <c r="S230" s="9" t="inlineStr">
        <is>
          <t>1.道下G</t>
        </is>
      </c>
      <c r="T230" s="9" t="inlineStr">
        <is>
          <t>小宮山G</t>
        </is>
      </c>
      <c r="U230" s="9" t="inlineStr">
        <is>
          <t>移籍</t>
        </is>
      </c>
      <c r="V230" s="9" t="n"/>
      <c r="W230" s="9" t="inlineStr">
        <is>
          <t>道下グループ・・・イントロデューサー分も、マネージャーフィー0.25%も道下さんに報告、Goo分は0.25%</t>
        </is>
      </c>
    </row>
    <row r="231">
      <c r="A231" s="7" t="n">
        <v>572428</v>
      </c>
      <c r="B231" s="7" t="inlineStr">
        <is>
          <t>Anvest Co., Ltd.</t>
        </is>
      </c>
      <c r="C231" s="8" t="n">
        <v>2</v>
      </c>
      <c r="D231" s="8" t="n">
        <v>19.45</v>
      </c>
      <c r="E231" s="8" t="n">
        <v>19.45</v>
      </c>
      <c r="F231" s="8" t="n">
        <v>0</v>
      </c>
      <c r="G231" s="8" t="n">
        <v>2</v>
      </c>
      <c r="H231" s="8" t="n">
        <v>13.95</v>
      </c>
      <c r="I231" s="8" t="n">
        <v>13.95</v>
      </c>
      <c r="J231" s="8" t="n">
        <v>0</v>
      </c>
      <c r="K231" s="8" t="n">
        <v>1</v>
      </c>
      <c r="L231" s="8" t="n">
        <v>9.24</v>
      </c>
      <c r="M231" s="8" t="n">
        <v>9.24</v>
      </c>
      <c r="N231" s="8" t="n">
        <v>0</v>
      </c>
      <c r="O231" s="8" t="n">
        <v>5</v>
      </c>
      <c r="P231" s="8" t="n">
        <v>42.65</v>
      </c>
      <c r="Q231" s="8" t="n">
        <v>42.65</v>
      </c>
      <c r="R231" s="8" t="n">
        <v>0</v>
      </c>
      <c r="S231" s="7" t="inlineStr">
        <is>
          <t>7.長谷川G</t>
        </is>
      </c>
      <c r="T231" s="7" t="n">
        <v>0</v>
      </c>
      <c r="U231" s="7" t="inlineStr">
        <is>
          <t>既得確保</t>
        </is>
      </c>
      <c r="V231" s="7" t="n"/>
      <c r="W231" s="7" t="n"/>
    </row>
    <row r="232">
      <c r="A232" s="9" t="n">
        <v>573230</v>
      </c>
      <c r="B232" s="9" t="inlineStr">
        <is>
          <t>Hirako, Megumi</t>
        </is>
      </c>
      <c r="C232" s="10" t="n">
        <v>1</v>
      </c>
      <c r="D232" s="10" t="n">
        <v>12.38</v>
      </c>
      <c r="E232" s="10" t="n">
        <v>12.38</v>
      </c>
      <c r="F232" s="10" t="n">
        <v>0</v>
      </c>
      <c r="G232" s="10" t="n">
        <v>1</v>
      </c>
      <c r="H232" s="10" t="n">
        <v>14.23</v>
      </c>
      <c r="I232" s="10" t="n">
        <v>14.23</v>
      </c>
      <c r="J232" s="10" t="n">
        <v>0</v>
      </c>
      <c r="K232" s="10" t="n">
        <v>1</v>
      </c>
      <c r="L232" s="10" t="n">
        <v>15.35</v>
      </c>
      <c r="M232" s="10" t="n">
        <v>15.35</v>
      </c>
      <c r="N232" s="10" t="n">
        <v>0</v>
      </c>
      <c r="O232" s="10" t="n">
        <v>3</v>
      </c>
      <c r="P232" s="10" t="n">
        <v>41.96</v>
      </c>
      <c r="Q232" s="10" t="n">
        <v>41.96</v>
      </c>
      <c r="R232" s="10" t="n">
        <v>0</v>
      </c>
      <c r="S232" s="9" t="inlineStr">
        <is>
          <t>14.渋谷G　※OneG除く</t>
        </is>
      </c>
      <c r="T232" s="9" t="n">
        <v>0</v>
      </c>
      <c r="U232" s="9" t="inlineStr">
        <is>
          <t>アクティブ</t>
        </is>
      </c>
      <c r="V232" s="9" t="n"/>
      <c r="W232" s="9" t="n"/>
    </row>
    <row r="233">
      <c r="A233" s="7" t="n">
        <v>569195</v>
      </c>
      <c r="B233" s="7" t="inlineStr">
        <is>
          <t>Wakayama, Sho</t>
        </is>
      </c>
      <c r="C233" s="8" t="n">
        <v>4</v>
      </c>
      <c r="D233" s="8" t="n">
        <v>11.51</v>
      </c>
      <c r="E233" s="8" t="n">
        <v>11.51</v>
      </c>
      <c r="F233" s="8" t="n">
        <v>0</v>
      </c>
      <c r="G233" s="8" t="n">
        <v>4</v>
      </c>
      <c r="H233" s="8" t="n">
        <v>13.63</v>
      </c>
      <c r="I233" s="8" t="n">
        <v>13.63</v>
      </c>
      <c r="J233" s="8" t="n">
        <v>0</v>
      </c>
      <c r="K233" s="8" t="n">
        <v>6</v>
      </c>
      <c r="L233" s="8" t="n">
        <v>14.83</v>
      </c>
      <c r="M233" s="8" t="n">
        <v>14.83</v>
      </c>
      <c r="N233" s="8" t="n">
        <v>0</v>
      </c>
      <c r="O233" s="8" t="n">
        <v>14</v>
      </c>
      <c r="P233" s="8" t="n">
        <v>39.96</v>
      </c>
      <c r="Q233" s="8" t="n">
        <v>39.96</v>
      </c>
      <c r="R233" s="8" t="n">
        <v>0</v>
      </c>
      <c r="S233" s="7" t="inlineStr">
        <is>
          <t>15.Zenith　※MJP除く</t>
        </is>
      </c>
      <c r="T233" s="7" t="n">
        <v>0</v>
      </c>
      <c r="U233" s="7" t="inlineStr">
        <is>
          <t>アクティブ</t>
        </is>
      </c>
      <c r="V233" s="7" t="n"/>
      <c r="W233" s="7" t="n"/>
    </row>
    <row r="234">
      <c r="A234" s="9" t="n">
        <v>568315</v>
      </c>
      <c r="B234" s="9" t="inlineStr">
        <is>
          <t>Nagatsuka, Makito</t>
        </is>
      </c>
      <c r="C234" s="10" t="n">
        <v>0</v>
      </c>
      <c r="D234" s="10" t="n">
        <v>0</v>
      </c>
      <c r="E234" s="10" t="n">
        <v>0</v>
      </c>
      <c r="F234" s="10" t="n">
        <v>0</v>
      </c>
      <c r="G234" s="10" t="n">
        <v>1</v>
      </c>
      <c r="H234" s="10" t="n">
        <v>19.3</v>
      </c>
      <c r="I234" s="10" t="n">
        <v>9.65</v>
      </c>
      <c r="J234" s="10" t="n">
        <v>9.65</v>
      </c>
      <c r="K234" s="10" t="n">
        <v>1</v>
      </c>
      <c r="L234" s="10" t="n">
        <v>20.4</v>
      </c>
      <c r="M234" s="10" t="n">
        <v>10.2</v>
      </c>
      <c r="N234" s="10" t="n">
        <v>10.2</v>
      </c>
      <c r="O234" s="10" t="n">
        <v>2</v>
      </c>
      <c r="P234" s="10" t="n">
        <v>39.7</v>
      </c>
      <c r="Q234" s="10" t="n">
        <v>19.85</v>
      </c>
      <c r="R234" s="10" t="n">
        <v>19.85</v>
      </c>
      <c r="S234" s="9" t="inlineStr">
        <is>
          <t>4.March G</t>
        </is>
      </c>
      <c r="T234" s="9" t="n">
        <v>0</v>
      </c>
      <c r="U234" s="9" t="inlineStr">
        <is>
          <t>既得確保</t>
        </is>
      </c>
      <c r="V234" s="9" t="n"/>
      <c r="W234" s="9" t="inlineStr">
        <is>
          <t>March一樹・・・イントロデューサー分も、マネージャーフィー0.25%も一樹さんに報告、Goo分は0.25%</t>
        </is>
      </c>
    </row>
    <row r="235">
      <c r="A235" s="7" t="n">
        <v>570906</v>
      </c>
      <c r="B235" s="7" t="inlineStr">
        <is>
          <t>Global Grow Plus Llc</t>
        </is>
      </c>
      <c r="C235" s="8" t="n">
        <v>2</v>
      </c>
      <c r="D235" s="8" t="n">
        <v>23.49</v>
      </c>
      <c r="E235" s="8" t="n">
        <v>2.65</v>
      </c>
      <c r="F235" s="8" t="n">
        <v>2.65</v>
      </c>
      <c r="G235" s="8" t="n">
        <v>2</v>
      </c>
      <c r="H235" s="8" t="n">
        <v>27.23</v>
      </c>
      <c r="I235" s="8" t="n">
        <v>3.17</v>
      </c>
      <c r="J235" s="8" t="n">
        <v>3.17</v>
      </c>
      <c r="K235" s="8" t="n">
        <v>2</v>
      </c>
      <c r="L235" s="8" t="n">
        <v>29.04</v>
      </c>
      <c r="M235" s="8" t="n">
        <v>3.52</v>
      </c>
      <c r="N235" s="8" t="n">
        <v>3.52</v>
      </c>
      <c r="O235" s="8" t="n">
        <v>6</v>
      </c>
      <c r="P235" s="8" t="n">
        <v>79.77</v>
      </c>
      <c r="Q235" s="8" t="n">
        <v>9.34</v>
      </c>
      <c r="R235" s="8" t="n">
        <v>9.34</v>
      </c>
      <c r="S235" s="7" t="inlineStr">
        <is>
          <t>12.脇坂G</t>
        </is>
      </c>
      <c r="T235" s="7" t="inlineStr">
        <is>
          <t>4 Capital 傘下</t>
        </is>
      </c>
      <c r="U235" s="7" t="inlineStr">
        <is>
          <t>アクティブ</t>
        </is>
      </c>
      <c r="V235" s="7" t="n"/>
      <c r="W235" s="7" t="inlineStr">
        <is>
          <t>脇坂グループ・・・イントロデューサー分も、マネージャーフィー0.25%も脇坂さんに報告、Goo分は0.25%</t>
        </is>
      </c>
    </row>
    <row r="236">
      <c r="A236" s="9" t="n">
        <v>574086</v>
      </c>
      <c r="B236" s="9" t="inlineStr">
        <is>
          <t>Maruta, Tsuyoshi</t>
        </is>
      </c>
      <c r="C236" s="10" t="n">
        <v>3</v>
      </c>
      <c r="D236" s="10" t="n">
        <v>10.43</v>
      </c>
      <c r="E236" s="10" t="n">
        <v>5.22</v>
      </c>
      <c r="F236" s="10" t="n">
        <v>5.22</v>
      </c>
      <c r="G236" s="10" t="n">
        <v>3</v>
      </c>
      <c r="H236" s="10" t="n">
        <v>13.08</v>
      </c>
      <c r="I236" s="10" t="n">
        <v>6.54</v>
      </c>
      <c r="J236" s="10" t="n">
        <v>6.54</v>
      </c>
      <c r="K236" s="10" t="n">
        <v>3</v>
      </c>
      <c r="L236" s="10" t="n">
        <v>15.11</v>
      </c>
      <c r="M236" s="10" t="n">
        <v>7.55</v>
      </c>
      <c r="N236" s="10" t="n">
        <v>7.55</v>
      </c>
      <c r="O236" s="10" t="n">
        <v>9</v>
      </c>
      <c r="P236" s="10" t="n">
        <v>38.63</v>
      </c>
      <c r="Q236" s="10" t="n">
        <v>19.31</v>
      </c>
      <c r="R236" s="10" t="n">
        <v>19.31</v>
      </c>
      <c r="S236" s="9" t="inlineStr">
        <is>
          <t>12.脇坂G</t>
        </is>
      </c>
      <c r="T236" s="9" t="inlineStr">
        <is>
          <t>SYM Company</t>
        </is>
      </c>
      <c r="U236" s="9" t="inlineStr">
        <is>
          <t>アクティブ</t>
        </is>
      </c>
      <c r="V236" s="9" t="n"/>
      <c r="W236" s="9" t="inlineStr">
        <is>
          <t>脇坂グループ・・・イントロデューサー分も、マネージャーフィー0.25%も脇坂さんに報告、Goo分は0.25%</t>
        </is>
      </c>
    </row>
    <row r="237">
      <c r="A237" s="7" t="n">
        <v>573678</v>
      </c>
      <c r="B237" s="7" t="inlineStr">
        <is>
          <t>Prevents Co., Ltd.</t>
        </is>
      </c>
      <c r="C237" s="8" t="n">
        <v>1</v>
      </c>
      <c r="D237" s="8" t="n">
        <v>11.11</v>
      </c>
      <c r="E237" s="8" t="n">
        <v>5.55</v>
      </c>
      <c r="F237" s="8" t="n">
        <v>5.55</v>
      </c>
      <c r="G237" s="8" t="n">
        <v>1</v>
      </c>
      <c r="H237" s="8" t="n">
        <v>12.98</v>
      </c>
      <c r="I237" s="8" t="n">
        <v>6.49</v>
      </c>
      <c r="J237" s="8" t="n">
        <v>6.49</v>
      </c>
      <c r="K237" s="8" t="n">
        <v>1</v>
      </c>
      <c r="L237" s="8" t="n">
        <v>13.78</v>
      </c>
      <c r="M237" s="8" t="n">
        <v>6.89</v>
      </c>
      <c r="N237" s="8" t="n">
        <v>6.89</v>
      </c>
      <c r="O237" s="8" t="n">
        <v>3</v>
      </c>
      <c r="P237" s="8" t="n">
        <v>37.87</v>
      </c>
      <c r="Q237" s="8" t="n">
        <v>18.93</v>
      </c>
      <c r="R237" s="8" t="n">
        <v>18.93</v>
      </c>
      <c r="S237" s="7" t="inlineStr">
        <is>
          <t>12.脇坂G</t>
        </is>
      </c>
      <c r="T237" s="7" t="inlineStr">
        <is>
          <t>4 Capital 傘下</t>
        </is>
      </c>
      <c r="U237" s="7" t="inlineStr">
        <is>
          <t>アクティブ</t>
        </is>
      </c>
      <c r="V237" s="7" t="n"/>
      <c r="W237" s="7" t="inlineStr">
        <is>
          <t>脇坂グループ・・・イントロデューサー分も、マネージャーフィー0.25%も脇坂さんに報告、Goo分は0.25%</t>
        </is>
      </c>
    </row>
    <row r="238">
      <c r="A238" s="9" t="n">
        <v>576911</v>
      </c>
      <c r="B238" s="9" t="inlineStr">
        <is>
          <t>Kamekawa, Takatoshi</t>
        </is>
      </c>
      <c r="C238" s="10" t="n">
        <v>1</v>
      </c>
      <c r="D238" s="10" t="n">
        <v>9.93</v>
      </c>
      <c r="E238" s="10" t="n">
        <v>4.96</v>
      </c>
      <c r="F238" s="10" t="n">
        <v>4.96</v>
      </c>
      <c r="G238" s="10" t="n">
        <v>2</v>
      </c>
      <c r="H238" s="10" t="n">
        <v>11.98</v>
      </c>
      <c r="I238" s="10" t="n">
        <v>5.99</v>
      </c>
      <c r="J238" s="10" t="n">
        <v>5.99</v>
      </c>
      <c r="K238" s="10" t="n">
        <v>3</v>
      </c>
      <c r="L238" s="10" t="n">
        <v>15.75</v>
      </c>
      <c r="M238" s="10" t="n">
        <v>7.88</v>
      </c>
      <c r="N238" s="10" t="n">
        <v>7.88</v>
      </c>
      <c r="O238" s="10" t="n">
        <v>6</v>
      </c>
      <c r="P238" s="10" t="n">
        <v>37.66</v>
      </c>
      <c r="Q238" s="10" t="n">
        <v>18.83</v>
      </c>
      <c r="R238" s="10" t="n">
        <v>18.83</v>
      </c>
      <c r="S238" s="9" t="inlineStr">
        <is>
          <t>1.道下G</t>
        </is>
      </c>
      <c r="T238" s="9" t="inlineStr">
        <is>
          <t>杉本G</t>
        </is>
      </c>
      <c r="U238" s="9" t="inlineStr">
        <is>
          <t>移籍</t>
        </is>
      </c>
      <c r="V238" s="9" t="n"/>
      <c r="W238" s="9" t="inlineStr">
        <is>
          <t>道下グループ・・・イントロデューサー分も、マネージャーフィー0.25%も道下さんに報告、Goo分は0.25%</t>
        </is>
      </c>
    </row>
    <row r="239">
      <c r="A239" s="7" t="n">
        <v>570866</v>
      </c>
      <c r="B239" s="7" t="inlineStr">
        <is>
          <t>Minamide, Issei</t>
        </is>
      </c>
      <c r="C239" s="8" t="n">
        <v>1</v>
      </c>
      <c r="D239" s="8" t="n">
        <v>10.81</v>
      </c>
      <c r="E239" s="8" t="n">
        <v>5.41</v>
      </c>
      <c r="F239" s="8" t="n">
        <v>5.41</v>
      </c>
      <c r="G239" s="8" t="n">
        <v>1</v>
      </c>
      <c r="H239" s="8" t="n">
        <v>12.4</v>
      </c>
      <c r="I239" s="8" t="n">
        <v>6.2</v>
      </c>
      <c r="J239" s="8" t="n">
        <v>6.2</v>
      </c>
      <c r="K239" s="8" t="n">
        <v>1</v>
      </c>
      <c r="L239" s="8" t="n">
        <v>13.77</v>
      </c>
      <c r="M239" s="8" t="n">
        <v>6.88</v>
      </c>
      <c r="N239" s="8" t="n">
        <v>6.88</v>
      </c>
      <c r="O239" s="8" t="n">
        <v>3</v>
      </c>
      <c r="P239" s="8" t="n">
        <v>36.98</v>
      </c>
      <c r="Q239" s="8" t="n">
        <v>18.49</v>
      </c>
      <c r="R239" s="8" t="n">
        <v>18.49</v>
      </c>
      <c r="S239" s="7" t="inlineStr">
        <is>
          <t>1.道下G</t>
        </is>
      </c>
      <c r="T239" s="7" t="inlineStr">
        <is>
          <t>杉本G</t>
        </is>
      </c>
      <c r="U239" s="7" t="inlineStr">
        <is>
          <t>移籍</t>
        </is>
      </c>
      <c r="V239" s="7" t="n"/>
      <c r="W239" s="7" t="inlineStr">
        <is>
          <t>道下グループ・・・イントロデューサー分も、マネージャーフィー0.25%も道下さんに報告、Goo分は0.25%</t>
        </is>
      </c>
    </row>
    <row r="240">
      <c r="A240" s="9" t="n">
        <v>561279</v>
      </c>
      <c r="B240" s="9" t="inlineStr">
        <is>
          <t>Iseya, Noritaka</t>
        </is>
      </c>
      <c r="C240" s="10" t="n">
        <v>1</v>
      </c>
      <c r="D240" s="10" t="n">
        <v>12.18</v>
      </c>
      <c r="E240" s="10" t="n">
        <v>12.18</v>
      </c>
      <c r="F240" s="10" t="n">
        <v>0</v>
      </c>
      <c r="G240" s="10" t="n">
        <v>1</v>
      </c>
      <c r="H240" s="10" t="n">
        <v>12.35</v>
      </c>
      <c r="I240" s="10" t="n">
        <v>12.35</v>
      </c>
      <c r="J240" s="10" t="n">
        <v>0</v>
      </c>
      <c r="K240" s="10" t="n">
        <v>1</v>
      </c>
      <c r="L240" s="10" t="n">
        <v>11.76</v>
      </c>
      <c r="M240" s="10" t="n">
        <v>11.76</v>
      </c>
      <c r="N240" s="10" t="n">
        <v>0</v>
      </c>
      <c r="O240" s="10" t="n">
        <v>3</v>
      </c>
      <c r="P240" s="10" t="n">
        <v>36.28</v>
      </c>
      <c r="Q240" s="10" t="n">
        <v>36.28</v>
      </c>
      <c r="R240" s="10" t="n">
        <v>0</v>
      </c>
      <c r="S240" s="9" t="inlineStr">
        <is>
          <t>個別</t>
        </is>
      </c>
      <c r="T240" s="9" t="n">
        <v>0</v>
      </c>
      <c r="U240" s="9" t="inlineStr">
        <is>
          <t>既得確保</t>
        </is>
      </c>
      <c r="V240" s="9" t="n"/>
      <c r="W240" s="9" t="n"/>
    </row>
    <row r="241">
      <c r="A241" s="7" t="n">
        <v>572183</v>
      </c>
      <c r="B241" s="7" t="inlineStr">
        <is>
          <t>Nakao, Hina</t>
        </is>
      </c>
      <c r="C241" s="8" t="n">
        <v>2</v>
      </c>
      <c r="D241" s="8" t="n">
        <v>30.26</v>
      </c>
      <c r="E241" s="8" t="n">
        <v>15.13</v>
      </c>
      <c r="F241" s="8" t="n">
        <v>15.13</v>
      </c>
      <c r="G241" s="8" t="n">
        <v>1</v>
      </c>
      <c r="H241" s="8" t="n">
        <v>3.77</v>
      </c>
      <c r="I241" s="8" t="n">
        <v>1.89</v>
      </c>
      <c r="J241" s="8" t="n">
        <v>1.89</v>
      </c>
      <c r="K241" s="8" t="n">
        <v>0</v>
      </c>
      <c r="L241" s="8" t="n">
        <v>0</v>
      </c>
      <c r="M241" s="8" t="n">
        <v>0</v>
      </c>
      <c r="N241" s="8" t="n">
        <v>0</v>
      </c>
      <c r="O241" s="8" t="n">
        <v>3</v>
      </c>
      <c r="P241" s="8" t="n">
        <v>34.04</v>
      </c>
      <c r="Q241" s="8" t="n">
        <v>17.02</v>
      </c>
      <c r="R241" s="8" t="n">
        <v>17.02</v>
      </c>
      <c r="S241" s="7" t="inlineStr">
        <is>
          <t>12.脇坂G</t>
        </is>
      </c>
      <c r="T241" s="7" t="inlineStr">
        <is>
          <t>Onely G</t>
        </is>
      </c>
      <c r="U241" s="7" t="inlineStr">
        <is>
          <t>アクティブ</t>
        </is>
      </c>
      <c r="V241" s="7" t="n"/>
      <c r="W241" s="7" t="inlineStr">
        <is>
          <t>脇坂グループ・・・イントロデューサー分も、マネージャーフィー0.25%も脇坂さんに報告、Goo分は0.25%</t>
        </is>
      </c>
    </row>
    <row r="242">
      <c r="A242" s="9" t="n">
        <v>571255</v>
      </c>
      <c r="B242" s="9" t="inlineStr">
        <is>
          <t>Mizuguchi, Ryoto</t>
        </is>
      </c>
      <c r="C242" s="10" t="n">
        <v>5</v>
      </c>
      <c r="D242" s="10" t="n">
        <v>9.19</v>
      </c>
      <c r="E242" s="10" t="n">
        <v>9.19</v>
      </c>
      <c r="F242" s="10" t="n">
        <v>0</v>
      </c>
      <c r="G242" s="10" t="n">
        <v>5</v>
      </c>
      <c r="H242" s="10" t="n">
        <v>11.64</v>
      </c>
      <c r="I242" s="10" t="n">
        <v>11.64</v>
      </c>
      <c r="J242" s="10" t="n">
        <v>0</v>
      </c>
      <c r="K242" s="10" t="n">
        <v>5</v>
      </c>
      <c r="L242" s="10" t="n">
        <v>13.08</v>
      </c>
      <c r="M242" s="10" t="n">
        <v>13.08</v>
      </c>
      <c r="N242" s="10" t="n">
        <v>0</v>
      </c>
      <c r="O242" s="10" t="n">
        <v>15</v>
      </c>
      <c r="P242" s="10" t="n">
        <v>33.91</v>
      </c>
      <c r="Q242" s="10" t="n">
        <v>33.91</v>
      </c>
      <c r="R242" s="10" t="n">
        <v>0</v>
      </c>
      <c r="S242" s="9" t="inlineStr">
        <is>
          <t>13.水口さん</t>
        </is>
      </c>
      <c r="T242" s="9" t="n">
        <v>0</v>
      </c>
      <c r="U242" s="9" t="inlineStr">
        <is>
          <t>アクティブ</t>
        </is>
      </c>
      <c r="V242" s="9" t="n"/>
      <c r="W242" s="9" t="n"/>
    </row>
    <row r="243">
      <c r="A243" s="7" t="n">
        <v>573601</v>
      </c>
      <c r="B243" s="7" t="inlineStr">
        <is>
          <t>Hanaka, Tomohisa</t>
        </is>
      </c>
      <c r="C243" s="8" t="n">
        <v>2</v>
      </c>
      <c r="D243" s="8" t="n">
        <v>18.98</v>
      </c>
      <c r="E243" s="8" t="n">
        <v>18.98</v>
      </c>
      <c r="F243" s="8" t="n">
        <v>0</v>
      </c>
      <c r="G243" s="8" t="n">
        <v>2</v>
      </c>
      <c r="H243" s="8" t="n">
        <v>21.98</v>
      </c>
      <c r="I243" s="8" t="n">
        <v>21.98</v>
      </c>
      <c r="J243" s="8" t="n">
        <v>0</v>
      </c>
      <c r="K243" s="8" t="n">
        <v>2</v>
      </c>
      <c r="L243" s="8" t="n">
        <v>23.26</v>
      </c>
      <c r="M243" s="8" t="n">
        <v>23.26</v>
      </c>
      <c r="N243" s="8" t="n">
        <v>0</v>
      </c>
      <c r="O243" s="8" t="n">
        <v>6</v>
      </c>
      <c r="P243" s="8" t="n">
        <v>64.22</v>
      </c>
      <c r="Q243" s="8" t="n">
        <v>64.22</v>
      </c>
      <c r="R243" s="8" t="n">
        <v>0</v>
      </c>
      <c r="S243" s="7" t="n">
        <v>0</v>
      </c>
      <c r="T243" s="7" t="n">
        <v>0</v>
      </c>
      <c r="U243" s="7" t="inlineStr">
        <is>
          <t>解除済</t>
        </is>
      </c>
      <c r="V243" s="7" t="n"/>
      <c r="W243" s="7" t="n"/>
    </row>
    <row r="244">
      <c r="A244" s="9" t="n">
        <v>566695</v>
      </c>
      <c r="B244" s="9" t="inlineStr">
        <is>
          <t>Unity G.K.</t>
        </is>
      </c>
      <c r="C244" s="10" t="n">
        <v>3</v>
      </c>
      <c r="D244" s="10" t="n">
        <v>21.62</v>
      </c>
      <c r="E244" s="10" t="n">
        <v>10.81</v>
      </c>
      <c r="F244" s="10" t="n">
        <v>10.81</v>
      </c>
      <c r="G244" s="10" t="n">
        <v>2</v>
      </c>
      <c r="H244" s="10" t="n">
        <v>19.16</v>
      </c>
      <c r="I244" s="10" t="n">
        <v>9.58</v>
      </c>
      <c r="J244" s="10" t="n">
        <v>9.58</v>
      </c>
      <c r="K244" s="10" t="n">
        <v>2</v>
      </c>
      <c r="L244" s="10" t="n">
        <v>20.67</v>
      </c>
      <c r="M244" s="10" t="n">
        <v>10.34</v>
      </c>
      <c r="N244" s="10" t="n">
        <v>10.34</v>
      </c>
      <c r="O244" s="10" t="n">
        <v>7</v>
      </c>
      <c r="P244" s="10" t="n">
        <v>61.45</v>
      </c>
      <c r="Q244" s="10" t="n">
        <v>30.73</v>
      </c>
      <c r="R244" s="10" t="n">
        <v>30.73</v>
      </c>
      <c r="S244" s="9" t="inlineStr">
        <is>
          <t>1.道下G</t>
        </is>
      </c>
      <c r="T244" s="9" t="inlineStr">
        <is>
          <t>小宮山G</t>
        </is>
      </c>
      <c r="U244" s="9" t="inlineStr">
        <is>
          <t>移籍</t>
        </is>
      </c>
      <c r="V244" s="9" t="n"/>
      <c r="W244" s="9" t="inlineStr">
        <is>
          <t>道下グループ・・・イントロデューサー分も、マネージャーフィー0.25%も道下さんに報告、Goo分は0.25%</t>
        </is>
      </c>
    </row>
    <row r="245">
      <c r="A245" s="7" t="n">
        <v>577774</v>
      </c>
      <c r="B245" s="7" t="inlineStr">
        <is>
          <t>Kita, Daishiro</t>
        </is>
      </c>
      <c r="C245" s="8" t="n">
        <v>1</v>
      </c>
      <c r="D245" s="8" t="n">
        <v>8.390000000000001</v>
      </c>
      <c r="E245" s="8" t="n">
        <v>4.2</v>
      </c>
      <c r="F245" s="8" t="n">
        <v>4.2</v>
      </c>
      <c r="G245" s="8" t="n">
        <v>1</v>
      </c>
      <c r="H245" s="8" t="n">
        <v>9.859999999999999</v>
      </c>
      <c r="I245" s="8" t="n">
        <v>4.93</v>
      </c>
      <c r="J245" s="8" t="n">
        <v>4.93</v>
      </c>
      <c r="K245" s="8" t="n">
        <v>1</v>
      </c>
      <c r="L245" s="8" t="n">
        <v>11.15</v>
      </c>
      <c r="M245" s="8" t="n">
        <v>5.58</v>
      </c>
      <c r="N245" s="8" t="n">
        <v>5.58</v>
      </c>
      <c r="O245" s="8" t="n">
        <v>3</v>
      </c>
      <c r="P245" s="8" t="n">
        <v>29.4</v>
      </c>
      <c r="Q245" s="8" t="n">
        <v>14.7</v>
      </c>
      <c r="R245" s="8" t="n">
        <v>14.7</v>
      </c>
      <c r="S245" s="7" t="inlineStr">
        <is>
          <t>1.道下G</t>
        </is>
      </c>
      <c r="T245" s="7" t="inlineStr">
        <is>
          <t>杉本G</t>
        </is>
      </c>
      <c r="U245" s="7" t="inlineStr">
        <is>
          <t>移籍</t>
        </is>
      </c>
      <c r="V245" s="7" t="n"/>
      <c r="W245" s="7" t="inlineStr">
        <is>
          <t>道下グループ・・・イントロデューサー分も、マネージャーフィー0.25%も道下さんに報告、Goo分は0.25%</t>
        </is>
      </c>
    </row>
    <row r="246">
      <c r="A246" s="9" t="n">
        <v>575940</v>
      </c>
      <c r="B246" s="9" t="inlineStr">
        <is>
          <t>Tanabe, Shingo</t>
        </is>
      </c>
      <c r="C246" s="10" t="n">
        <v>6</v>
      </c>
      <c r="D246" s="10" t="n">
        <v>3.16</v>
      </c>
      <c r="E246" s="10" t="n">
        <v>3.16</v>
      </c>
      <c r="F246" s="10" t="n">
        <v>0</v>
      </c>
      <c r="G246" s="10" t="n">
        <v>11</v>
      </c>
      <c r="H246" s="10" t="n">
        <v>9.41</v>
      </c>
      <c r="I246" s="10" t="n">
        <v>9.41</v>
      </c>
      <c r="J246" s="10" t="n">
        <v>0</v>
      </c>
      <c r="K246" s="10" t="n">
        <v>11</v>
      </c>
      <c r="L246" s="10" t="n">
        <v>14.49</v>
      </c>
      <c r="M246" s="10" t="n">
        <v>14.49</v>
      </c>
      <c r="N246" s="10" t="n">
        <v>0</v>
      </c>
      <c r="O246" s="10" t="n">
        <v>28</v>
      </c>
      <c r="P246" s="10" t="n">
        <v>27.06</v>
      </c>
      <c r="Q246" s="10" t="n">
        <v>27.06</v>
      </c>
      <c r="R246" s="10" t="n">
        <v>0</v>
      </c>
      <c r="S246" s="9" t="inlineStr">
        <is>
          <t>個別</t>
        </is>
      </c>
      <c r="T246" s="9" t="inlineStr">
        <is>
          <t>FP team</t>
        </is>
      </c>
      <c r="U246" s="9" t="inlineStr">
        <is>
          <t>アクティブ</t>
        </is>
      </c>
      <c r="V246" s="9" t="n"/>
      <c r="W246" s="9" t="n"/>
    </row>
    <row r="247">
      <c r="A247" s="7" t="n">
        <v>575593</v>
      </c>
      <c r="B247" s="7" t="inlineStr">
        <is>
          <t>Iwasa, Kenta</t>
        </is>
      </c>
      <c r="C247" s="8" t="n">
        <v>1</v>
      </c>
      <c r="D247" s="8" t="n">
        <v>6.79</v>
      </c>
      <c r="E247" s="8" t="n">
        <v>3.39</v>
      </c>
      <c r="F247" s="8" t="n">
        <v>3.39</v>
      </c>
      <c r="G247" s="8" t="n">
        <v>1</v>
      </c>
      <c r="H247" s="8" t="n">
        <v>9.210000000000001</v>
      </c>
      <c r="I247" s="8" t="n">
        <v>4.6</v>
      </c>
      <c r="J247" s="8" t="n">
        <v>4.6</v>
      </c>
      <c r="K247" s="8" t="n">
        <v>1</v>
      </c>
      <c r="L247" s="8" t="n">
        <v>11.06</v>
      </c>
      <c r="M247" s="8" t="n">
        <v>5.53</v>
      </c>
      <c r="N247" s="8" t="n">
        <v>5.53</v>
      </c>
      <c r="O247" s="8" t="n">
        <v>3</v>
      </c>
      <c r="P247" s="8" t="n">
        <v>27.05</v>
      </c>
      <c r="Q247" s="8" t="n">
        <v>13.53</v>
      </c>
      <c r="R247" s="8" t="n">
        <v>13.53</v>
      </c>
      <c r="S247" s="7" t="inlineStr">
        <is>
          <t>1.道下G</t>
        </is>
      </c>
      <c r="T247" s="7" t="inlineStr">
        <is>
          <t>杉本G</t>
        </is>
      </c>
      <c r="U247" s="7" t="inlineStr">
        <is>
          <t>移籍</t>
        </is>
      </c>
      <c r="V247" s="7" t="n"/>
      <c r="W247" s="7" t="inlineStr">
        <is>
          <t>道下グループ・・・イントロデューサー分も、マネージャーフィー0.25%も道下さんに報告、Goo分は0.25%</t>
        </is>
      </c>
    </row>
    <row r="248">
      <c r="A248" s="9" t="n">
        <v>575043</v>
      </c>
      <c r="B248" s="9" t="inlineStr">
        <is>
          <t>Taki, Tomoya</t>
        </is>
      </c>
      <c r="C248" s="10" t="n">
        <v>3</v>
      </c>
      <c r="D248" s="10" t="n">
        <v>5.07</v>
      </c>
      <c r="E248" s="10" t="n">
        <v>2.54</v>
      </c>
      <c r="F248" s="10" t="n">
        <v>2.54</v>
      </c>
      <c r="G248" s="10" t="n">
        <v>3</v>
      </c>
      <c r="H248" s="10" t="n">
        <v>9.02</v>
      </c>
      <c r="I248" s="10" t="n">
        <v>4.51</v>
      </c>
      <c r="J248" s="10" t="n">
        <v>4.51</v>
      </c>
      <c r="K248" s="10" t="n">
        <v>4</v>
      </c>
      <c r="L248" s="10" t="n">
        <v>12.65</v>
      </c>
      <c r="M248" s="10" t="n">
        <v>6.33</v>
      </c>
      <c r="N248" s="10" t="n">
        <v>6.33</v>
      </c>
      <c r="O248" s="10" t="n">
        <v>10</v>
      </c>
      <c r="P248" s="10" t="n">
        <v>26.74</v>
      </c>
      <c r="Q248" s="10" t="n">
        <v>13.37</v>
      </c>
      <c r="R248" s="10" t="n">
        <v>13.37</v>
      </c>
      <c r="S248" s="9" t="inlineStr">
        <is>
          <t>12.脇坂G</t>
        </is>
      </c>
      <c r="T248" s="9" t="inlineStr">
        <is>
          <t>4 Capital 傘下</t>
        </is>
      </c>
      <c r="U248" s="9" t="inlineStr">
        <is>
          <t>アクティブ</t>
        </is>
      </c>
      <c r="V248" s="9" t="n"/>
      <c r="W248" s="9" t="inlineStr">
        <is>
          <t>脇坂グループ・・・イントロデューサー分も、マネージャーフィー0.25%も脇坂さんに報告、Goo分は0.25%</t>
        </is>
      </c>
    </row>
    <row r="249">
      <c r="A249" s="7" t="n">
        <v>570884</v>
      </c>
      <c r="B249" s="7" t="inlineStr">
        <is>
          <t>Queen Giving Co.Ltd</t>
        </is>
      </c>
      <c r="C249" s="8" t="n">
        <v>1</v>
      </c>
      <c r="D249" s="8" t="n">
        <v>8.35</v>
      </c>
      <c r="E249" s="8" t="n">
        <v>4.17</v>
      </c>
      <c r="F249" s="8" t="n">
        <v>4.17</v>
      </c>
      <c r="G249" s="8" t="n">
        <v>1</v>
      </c>
      <c r="H249" s="8" t="n">
        <v>8.970000000000001</v>
      </c>
      <c r="I249" s="8" t="n">
        <v>4.49</v>
      </c>
      <c r="J249" s="8" t="n">
        <v>4.49</v>
      </c>
      <c r="K249" s="8" t="n">
        <v>1</v>
      </c>
      <c r="L249" s="8" t="n">
        <v>9.039999999999999</v>
      </c>
      <c r="M249" s="8" t="n">
        <v>4.52</v>
      </c>
      <c r="N249" s="8" t="n">
        <v>4.52</v>
      </c>
      <c r="O249" s="8" t="n">
        <v>3</v>
      </c>
      <c r="P249" s="8" t="n">
        <v>26.37</v>
      </c>
      <c r="Q249" s="8" t="n">
        <v>13.18</v>
      </c>
      <c r="R249" s="8" t="n">
        <v>13.18</v>
      </c>
      <c r="S249" s="7" t="inlineStr">
        <is>
          <t>1.道下G</t>
        </is>
      </c>
      <c r="T249" s="7" t="inlineStr">
        <is>
          <t>杉本G</t>
        </is>
      </c>
      <c r="U249" s="7" t="inlineStr">
        <is>
          <t>移籍</t>
        </is>
      </c>
      <c r="V249" s="7" t="n"/>
      <c r="W249" s="7" t="inlineStr">
        <is>
          <t>道下グループ・・・イントロデューサー分も、マネージャーフィー0.25%も道下さんに報告、Goo分は0.25%</t>
        </is>
      </c>
    </row>
    <row r="250">
      <c r="A250" s="9" t="n">
        <v>569393</v>
      </c>
      <c r="B250" s="9" t="inlineStr">
        <is>
          <t>Yen Co., Ltd.</t>
        </is>
      </c>
      <c r="C250" s="10" t="n">
        <v>1</v>
      </c>
      <c r="D250" s="10" t="n">
        <v>8.470000000000001</v>
      </c>
      <c r="E250" s="10" t="n">
        <v>8.470000000000001</v>
      </c>
      <c r="F250" s="10" t="n">
        <v>0</v>
      </c>
      <c r="G250" s="10" t="n">
        <v>1</v>
      </c>
      <c r="H250" s="10" t="n">
        <v>8.640000000000001</v>
      </c>
      <c r="I250" s="10" t="n">
        <v>8.640000000000001</v>
      </c>
      <c r="J250" s="10" t="n">
        <v>0</v>
      </c>
      <c r="K250" s="10" t="n">
        <v>1</v>
      </c>
      <c r="L250" s="10" t="n">
        <v>8.23</v>
      </c>
      <c r="M250" s="10" t="n">
        <v>8.23</v>
      </c>
      <c r="N250" s="10" t="n">
        <v>0</v>
      </c>
      <c r="O250" s="10" t="n">
        <v>3</v>
      </c>
      <c r="P250" s="10" t="n">
        <v>25.35</v>
      </c>
      <c r="Q250" s="10" t="n">
        <v>25.35</v>
      </c>
      <c r="R250" s="10" t="n">
        <v>0</v>
      </c>
      <c r="S250" s="9" t="inlineStr">
        <is>
          <t>1.BANK</t>
        </is>
      </c>
      <c r="T250" s="9" t="inlineStr">
        <is>
          <t>BANK直</t>
        </is>
      </c>
      <c r="U250" s="9" t="inlineStr">
        <is>
          <t>アクティブ</t>
        </is>
      </c>
      <c r="V250" s="9" t="n"/>
      <c r="W250" s="9" t="n"/>
    </row>
    <row r="251">
      <c r="A251" s="7" t="n">
        <v>569351</v>
      </c>
      <c r="B251" s="7" t="inlineStr">
        <is>
          <t>Takeda, Haruya</t>
        </is>
      </c>
      <c r="C251" s="8" t="n">
        <v>5</v>
      </c>
      <c r="D251" s="8" t="n">
        <v>6.42</v>
      </c>
      <c r="E251" s="8" t="n">
        <v>6.42</v>
      </c>
      <c r="F251" s="8" t="n">
        <v>0</v>
      </c>
      <c r="G251" s="8" t="n">
        <v>6</v>
      </c>
      <c r="H251" s="8" t="n">
        <v>8.41</v>
      </c>
      <c r="I251" s="8" t="n">
        <v>8.41</v>
      </c>
      <c r="J251" s="8" t="n">
        <v>0</v>
      </c>
      <c r="K251" s="8" t="n">
        <v>7</v>
      </c>
      <c r="L251" s="8" t="n">
        <v>9.970000000000001</v>
      </c>
      <c r="M251" s="8" t="n">
        <v>9.970000000000001</v>
      </c>
      <c r="N251" s="8" t="n">
        <v>0</v>
      </c>
      <c r="O251" s="8" t="n">
        <v>18</v>
      </c>
      <c r="P251" s="8" t="n">
        <v>24.79</v>
      </c>
      <c r="Q251" s="8" t="n">
        <v>24.79</v>
      </c>
      <c r="R251" s="8" t="n">
        <v>0</v>
      </c>
      <c r="S251" s="7" t="inlineStr">
        <is>
          <t>3.CHARM Co., Ltd.</t>
        </is>
      </c>
      <c r="T251" s="7" t="n">
        <v>0</v>
      </c>
      <c r="U251" s="7" t="inlineStr">
        <is>
          <t>既得確保</t>
        </is>
      </c>
      <c r="V251" s="7" t="n"/>
      <c r="W251" s="7" t="n"/>
    </row>
    <row r="252">
      <c r="A252" s="9" t="n">
        <v>516482</v>
      </c>
      <c r="B252" s="9" t="inlineStr">
        <is>
          <t>Nishizaki, Yuki</t>
        </is>
      </c>
      <c r="C252" s="10" t="n">
        <v>3</v>
      </c>
      <c r="D252" s="10" t="n">
        <v>1.01</v>
      </c>
      <c r="E252" s="10" t="n">
        <v>1.01</v>
      </c>
      <c r="F252" s="10" t="n">
        <v>0</v>
      </c>
      <c r="G252" s="10" t="n">
        <v>9</v>
      </c>
      <c r="H252" s="10" t="n">
        <v>9.58</v>
      </c>
      <c r="I252" s="10" t="n">
        <v>9.58</v>
      </c>
      <c r="J252" s="10" t="n">
        <v>0</v>
      </c>
      <c r="K252" s="10" t="n">
        <v>14</v>
      </c>
      <c r="L252" s="10" t="n">
        <v>19.18</v>
      </c>
      <c r="M252" s="10" t="n">
        <v>19.18</v>
      </c>
      <c r="N252" s="10" t="n">
        <v>0</v>
      </c>
      <c r="O252" s="10" t="n">
        <v>26</v>
      </c>
      <c r="P252" s="10" t="n">
        <v>29.77</v>
      </c>
      <c r="Q252" s="10" t="n">
        <v>29.77</v>
      </c>
      <c r="R252" s="10" t="n">
        <v>0</v>
      </c>
      <c r="S252" s="9" t="inlineStr">
        <is>
          <t>個別</t>
        </is>
      </c>
      <c r="T252" s="9" t="n">
        <v>0</v>
      </c>
      <c r="U252" s="9" t="inlineStr">
        <is>
          <t>アクティブ</t>
        </is>
      </c>
      <c r="V252" s="9" t="n"/>
      <c r="W252" s="9" t="n"/>
    </row>
    <row r="253">
      <c r="A253" s="7" t="n">
        <v>576956</v>
      </c>
      <c r="B253" s="7" t="inlineStr">
        <is>
          <t>Takeguchi, Yuito</t>
        </is>
      </c>
      <c r="C253" s="8" t="n">
        <v>6</v>
      </c>
      <c r="D253" s="8" t="n">
        <v>4.23</v>
      </c>
      <c r="E253" s="8" t="n">
        <v>4.23</v>
      </c>
      <c r="F253" s="8" t="n">
        <v>0</v>
      </c>
      <c r="G253" s="8" t="n">
        <v>7</v>
      </c>
      <c r="H253" s="8" t="n">
        <v>7.55</v>
      </c>
      <c r="I253" s="8" t="n">
        <v>7.55</v>
      </c>
      <c r="J253" s="8" t="n">
        <v>0</v>
      </c>
      <c r="K253" s="8" t="n">
        <v>9</v>
      </c>
      <c r="L253" s="8" t="n">
        <v>11.98</v>
      </c>
      <c r="M253" s="8" t="n">
        <v>11.98</v>
      </c>
      <c r="N253" s="8" t="n">
        <v>0</v>
      </c>
      <c r="O253" s="8" t="n">
        <v>22</v>
      </c>
      <c r="P253" s="8" t="n">
        <v>23.75</v>
      </c>
      <c r="Q253" s="8" t="n">
        <v>23.75</v>
      </c>
      <c r="R253" s="8" t="n">
        <v>0</v>
      </c>
      <c r="S253" s="7" t="inlineStr">
        <is>
          <t>個別</t>
        </is>
      </c>
      <c r="T253" s="7" t="inlineStr">
        <is>
          <t>Raftel GK</t>
        </is>
      </c>
      <c r="U253" s="7" t="inlineStr">
        <is>
          <t>アクティブ</t>
        </is>
      </c>
      <c r="V253" s="7" t="n"/>
      <c r="W253" s="7" t="n"/>
    </row>
    <row r="254">
      <c r="A254" s="9" t="n">
        <v>580369</v>
      </c>
      <c r="B254" s="9" t="inlineStr">
        <is>
          <t>Noyama, Masahide</t>
        </is>
      </c>
      <c r="C254" s="10" t="n">
        <v>1</v>
      </c>
      <c r="D254" s="10" t="n">
        <v>6.71</v>
      </c>
      <c r="E254" s="10" t="n">
        <v>3.35</v>
      </c>
      <c r="F254" s="10" t="n">
        <v>3.35</v>
      </c>
      <c r="G254" s="10" t="n">
        <v>1</v>
      </c>
      <c r="H254" s="10" t="n">
        <v>7.97</v>
      </c>
      <c r="I254" s="10" t="n">
        <v>3.98</v>
      </c>
      <c r="J254" s="10" t="n">
        <v>3.98</v>
      </c>
      <c r="K254" s="10" t="n">
        <v>1</v>
      </c>
      <c r="L254" s="10" t="n">
        <v>8.49</v>
      </c>
      <c r="M254" s="10" t="n">
        <v>4.25</v>
      </c>
      <c r="N254" s="10" t="n">
        <v>4.25</v>
      </c>
      <c r="O254" s="10" t="n">
        <v>3</v>
      </c>
      <c r="P254" s="10" t="n">
        <v>23.17</v>
      </c>
      <c r="Q254" s="10" t="n">
        <v>11.59</v>
      </c>
      <c r="R254" s="10" t="n">
        <v>11.59</v>
      </c>
      <c r="S254" s="9" t="inlineStr">
        <is>
          <t>12.脇坂G</t>
        </is>
      </c>
      <c r="T254" s="9" t="inlineStr">
        <is>
          <t>4 Capital 傘下</t>
        </is>
      </c>
      <c r="U254" s="9" t="inlineStr">
        <is>
          <t>アクティブ</t>
        </is>
      </c>
      <c r="V254" s="9" t="n"/>
      <c r="W254" s="9" t="inlineStr">
        <is>
          <t>脇坂グループ・・・イントロデューサー分も、マネージャーフィー0.25%も脇坂さんに報告、Goo分は0.25%</t>
        </is>
      </c>
    </row>
    <row r="255">
      <c r="A255" s="7" t="n">
        <v>574085</v>
      </c>
      <c r="B255" s="7" t="inlineStr">
        <is>
          <t>Saito, Fumiaki</t>
        </is>
      </c>
      <c r="C255" s="8" t="n">
        <v>3</v>
      </c>
      <c r="D255" s="8" t="n">
        <v>5.58</v>
      </c>
      <c r="E255" s="8" t="n">
        <v>2.79</v>
      </c>
      <c r="F255" s="8" t="n">
        <v>2.79</v>
      </c>
      <c r="G255" s="8" t="n">
        <v>3</v>
      </c>
      <c r="H255" s="8" t="n">
        <v>7.63</v>
      </c>
      <c r="I255" s="8" t="n">
        <v>3.81</v>
      </c>
      <c r="J255" s="8" t="n">
        <v>3.81</v>
      </c>
      <c r="K255" s="8" t="n">
        <v>3</v>
      </c>
      <c r="L255" s="8" t="n">
        <v>9.75</v>
      </c>
      <c r="M255" s="8" t="n">
        <v>4.88</v>
      </c>
      <c r="N255" s="8" t="n">
        <v>4.88</v>
      </c>
      <c r="O255" s="8" t="n">
        <v>9</v>
      </c>
      <c r="P255" s="8" t="n">
        <v>22.96</v>
      </c>
      <c r="Q255" s="8" t="n">
        <v>11.48</v>
      </c>
      <c r="R255" s="8" t="n">
        <v>11.48</v>
      </c>
      <c r="S255" s="7" t="inlineStr">
        <is>
          <t>12.脇坂G</t>
        </is>
      </c>
      <c r="T255" s="7" t="inlineStr">
        <is>
          <t>SYM Company</t>
        </is>
      </c>
      <c r="U255" s="7" t="inlineStr">
        <is>
          <t>アクティブ</t>
        </is>
      </c>
      <c r="V255" s="7" t="n"/>
      <c r="W255" s="7" t="inlineStr">
        <is>
          <t>脇坂グループ・・・イントロデューサー分も、マネージャーフィー0.25%も脇坂さんに報告、Goo分は0.25%</t>
        </is>
      </c>
    </row>
    <row r="256">
      <c r="A256" s="9" t="n">
        <v>569841</v>
      </c>
      <c r="B256" s="9" t="inlineStr">
        <is>
          <t>Yasui, Satoshi</t>
        </is>
      </c>
      <c r="C256" s="10" t="n">
        <v>3</v>
      </c>
      <c r="D256" s="10" t="n">
        <v>7.12</v>
      </c>
      <c r="E256" s="10" t="n">
        <v>7.12</v>
      </c>
      <c r="F256" s="10" t="n">
        <v>0</v>
      </c>
      <c r="G256" s="10" t="n">
        <v>4</v>
      </c>
      <c r="H256" s="10" t="n">
        <v>7.22</v>
      </c>
      <c r="I256" s="10" t="n">
        <v>7.22</v>
      </c>
      <c r="J256" s="10" t="n">
        <v>0</v>
      </c>
      <c r="K256" s="10" t="n">
        <v>4</v>
      </c>
      <c r="L256" s="10" t="n">
        <v>7.83</v>
      </c>
      <c r="M256" s="10" t="n">
        <v>7.83</v>
      </c>
      <c r="N256" s="10" t="n">
        <v>0</v>
      </c>
      <c r="O256" s="10" t="n">
        <v>11</v>
      </c>
      <c r="P256" s="10" t="n">
        <v>22.18</v>
      </c>
      <c r="Q256" s="10" t="n">
        <v>22.18</v>
      </c>
      <c r="R256" s="10" t="n">
        <v>0</v>
      </c>
      <c r="S256" s="9" t="inlineStr">
        <is>
          <t>3.CHARM Co., Ltd.</t>
        </is>
      </c>
      <c r="T256" s="9" t="n">
        <v>0</v>
      </c>
      <c r="U256" s="9" t="inlineStr">
        <is>
          <t>既得確保</t>
        </is>
      </c>
      <c r="V256" s="9" t="n"/>
      <c r="W256" s="9" t="n"/>
    </row>
    <row r="257">
      <c r="A257" s="7" t="n">
        <v>580178</v>
      </c>
      <c r="B257" s="7" t="inlineStr">
        <is>
          <t>LLC Ltd</t>
        </is>
      </c>
      <c r="C257" s="8" t="n">
        <v>3</v>
      </c>
      <c r="D257" s="8" t="n">
        <v>28.33</v>
      </c>
      <c r="E257" s="8" t="n">
        <v>0.12</v>
      </c>
      <c r="F257" s="8" t="n">
        <v>0</v>
      </c>
      <c r="G257" s="8" t="n">
        <v>5</v>
      </c>
      <c r="H257" s="8" t="n">
        <v>40.07</v>
      </c>
      <c r="I257" s="8" t="n">
        <v>11.1</v>
      </c>
      <c r="J257" s="8" t="n">
        <v>0</v>
      </c>
      <c r="K257" s="8" t="n">
        <v>7</v>
      </c>
      <c r="L257" s="8" t="n">
        <v>39.26</v>
      </c>
      <c r="M257" s="8" t="n">
        <v>11.45</v>
      </c>
      <c r="N257" s="8" t="n">
        <v>0</v>
      </c>
      <c r="O257" s="8" t="n">
        <v>15</v>
      </c>
      <c r="P257" s="8" t="n">
        <v>107.66</v>
      </c>
      <c r="Q257" s="8" t="n">
        <v>22.66</v>
      </c>
      <c r="R257" s="8" t="n">
        <v>0</v>
      </c>
      <c r="S257" s="7" t="inlineStr">
        <is>
          <t>20.LLC Ltd</t>
        </is>
      </c>
      <c r="T257" s="7" t="n">
        <v>0</v>
      </c>
      <c r="U257" s="7" t="inlineStr">
        <is>
          <t>アクティブ</t>
        </is>
      </c>
      <c r="V257" s="7" t="n"/>
      <c r="W257" s="7" t="n"/>
    </row>
    <row r="258">
      <c r="A258" s="9" t="n">
        <v>575360</v>
      </c>
      <c r="B258" s="9" t="inlineStr">
        <is>
          <t>FP team Co., Ltd.</t>
        </is>
      </c>
      <c r="C258" s="10" t="n">
        <v>1</v>
      </c>
      <c r="D258" s="10" t="n">
        <v>5.75</v>
      </c>
      <c r="E258" s="10" t="n">
        <v>5.75</v>
      </c>
      <c r="F258" s="10" t="n">
        <v>0</v>
      </c>
      <c r="G258" s="10" t="n">
        <v>1</v>
      </c>
      <c r="H258" s="10" t="n">
        <v>7.09</v>
      </c>
      <c r="I258" s="10" t="n">
        <v>7.09</v>
      </c>
      <c r="J258" s="10" t="n">
        <v>0</v>
      </c>
      <c r="K258" s="10" t="n">
        <v>1</v>
      </c>
      <c r="L258" s="10" t="n">
        <v>8.039999999999999</v>
      </c>
      <c r="M258" s="10" t="n">
        <v>8.039999999999999</v>
      </c>
      <c r="N258" s="10" t="n">
        <v>0</v>
      </c>
      <c r="O258" s="10" t="n">
        <v>3</v>
      </c>
      <c r="P258" s="10" t="n">
        <v>20.88</v>
      </c>
      <c r="Q258" s="10" t="n">
        <v>20.88</v>
      </c>
      <c r="R258" s="10" t="n">
        <v>0</v>
      </c>
      <c r="S258" s="9" t="inlineStr">
        <is>
          <t>個別</t>
        </is>
      </c>
      <c r="T258" s="9" t="inlineStr">
        <is>
          <t>FP team</t>
        </is>
      </c>
      <c r="U258" s="9" t="inlineStr">
        <is>
          <t>既得確保</t>
        </is>
      </c>
      <c r="V258" s="9" t="n"/>
      <c r="W258" s="9" t="n"/>
    </row>
    <row r="259">
      <c r="A259" s="7" t="n">
        <v>571920</v>
      </c>
      <c r="B259" s="7" t="inlineStr">
        <is>
          <t>Hagiwara, Kenta</t>
        </is>
      </c>
      <c r="C259" s="8" t="n">
        <v>1</v>
      </c>
      <c r="D259" s="8" t="n">
        <v>5.68</v>
      </c>
      <c r="E259" s="8" t="n">
        <v>5.68</v>
      </c>
      <c r="F259" s="8" t="n">
        <v>0</v>
      </c>
      <c r="G259" s="8" t="n">
        <v>1</v>
      </c>
      <c r="H259" s="8" t="n">
        <v>7</v>
      </c>
      <c r="I259" s="8" t="n">
        <v>7</v>
      </c>
      <c r="J259" s="8" t="n">
        <v>0</v>
      </c>
      <c r="K259" s="8" t="n">
        <v>1</v>
      </c>
      <c r="L259" s="8" t="n">
        <v>7.53</v>
      </c>
      <c r="M259" s="8" t="n">
        <v>7.53</v>
      </c>
      <c r="N259" s="8" t="n">
        <v>0</v>
      </c>
      <c r="O259" s="8" t="n">
        <v>3</v>
      </c>
      <c r="P259" s="8" t="n">
        <v>20.2</v>
      </c>
      <c r="Q259" s="8" t="n">
        <v>20.2</v>
      </c>
      <c r="R259" s="8" t="n">
        <v>0</v>
      </c>
      <c r="S259" s="7" t="inlineStr">
        <is>
          <t>個別</t>
        </is>
      </c>
      <c r="T259" s="7" t="inlineStr">
        <is>
          <t>藤原G</t>
        </is>
      </c>
      <c r="U259" s="7" t="inlineStr">
        <is>
          <t>アクティブ</t>
        </is>
      </c>
      <c r="V259" s="7" t="n"/>
      <c r="W259" s="7" t="n"/>
    </row>
    <row r="260">
      <c r="A260" s="9" t="n">
        <v>569988</v>
      </c>
      <c r="B260" s="9" t="inlineStr">
        <is>
          <t>Sato, Yuto</t>
        </is>
      </c>
      <c r="C260" s="10" t="n">
        <v>2</v>
      </c>
      <c r="D260" s="10" t="n">
        <v>5.21</v>
      </c>
      <c r="E260" s="10" t="n">
        <v>5.21</v>
      </c>
      <c r="F260" s="10" t="n">
        <v>0</v>
      </c>
      <c r="G260" s="10" t="n">
        <v>2</v>
      </c>
      <c r="H260" s="10" t="n">
        <v>6.94</v>
      </c>
      <c r="I260" s="10" t="n">
        <v>6.94</v>
      </c>
      <c r="J260" s="10" t="n">
        <v>0</v>
      </c>
      <c r="K260" s="10" t="n">
        <v>2</v>
      </c>
      <c r="L260" s="10" t="n">
        <v>8.039999999999999</v>
      </c>
      <c r="M260" s="10" t="n">
        <v>8.039999999999999</v>
      </c>
      <c r="N260" s="10" t="n">
        <v>0</v>
      </c>
      <c r="O260" s="10" t="n">
        <v>6</v>
      </c>
      <c r="P260" s="10" t="n">
        <v>20.19</v>
      </c>
      <c r="Q260" s="10" t="n">
        <v>20.19</v>
      </c>
      <c r="R260" s="10" t="n">
        <v>0</v>
      </c>
      <c r="S260" s="9" t="inlineStr">
        <is>
          <t>1.BANK</t>
        </is>
      </c>
      <c r="T260" s="9" t="inlineStr">
        <is>
          <t>BANK直</t>
        </is>
      </c>
      <c r="U260" s="9" t="inlineStr">
        <is>
          <t>アクティブ</t>
        </is>
      </c>
      <c r="V260" s="9" t="n"/>
      <c r="W260" s="9" t="n"/>
    </row>
    <row r="261">
      <c r="A261" s="7" t="n">
        <v>581280</v>
      </c>
      <c r="B261" s="7" t="inlineStr">
        <is>
          <t>Japan Mission Farm Co., Ltd.</t>
        </is>
      </c>
      <c r="C261" s="8" t="n">
        <v>1</v>
      </c>
      <c r="D261" s="8" t="n">
        <v>15.18</v>
      </c>
      <c r="E261" s="8" t="n">
        <v>0</v>
      </c>
      <c r="F261" s="8" t="n">
        <v>0</v>
      </c>
      <c r="G261" s="8" t="n">
        <v>1</v>
      </c>
      <c r="H261" s="8" t="n">
        <v>13.81</v>
      </c>
      <c r="I261" s="8" t="n">
        <v>0</v>
      </c>
      <c r="J261" s="8" t="n">
        <v>0</v>
      </c>
      <c r="K261" s="8" t="n">
        <v>1</v>
      </c>
      <c r="L261" s="8" t="n">
        <v>11.16</v>
      </c>
      <c r="M261" s="8" t="n">
        <v>0</v>
      </c>
      <c r="N261" s="8" t="n">
        <v>0</v>
      </c>
      <c r="O261" s="8" t="n">
        <v>3</v>
      </c>
      <c r="P261" s="8" t="n">
        <v>40.16</v>
      </c>
      <c r="Q261" s="8" t="n">
        <v>0</v>
      </c>
      <c r="R261" s="8" t="n">
        <v>0</v>
      </c>
      <c r="S261" s="7" t="inlineStr">
        <is>
          <t>6.DOIT</t>
        </is>
      </c>
      <c r="T261" s="7" t="n">
        <v>0</v>
      </c>
      <c r="U261" s="7" t="inlineStr">
        <is>
          <t>アクティブ</t>
        </is>
      </c>
      <c r="V261" s="7" t="n"/>
      <c r="W261" s="7" t="n"/>
    </row>
    <row r="262">
      <c r="A262" s="9" t="n">
        <v>577612</v>
      </c>
      <c r="B262" s="9" t="inlineStr">
        <is>
          <t>Otaki, Yutaro</t>
        </is>
      </c>
      <c r="C262" s="10" t="n">
        <v>0</v>
      </c>
      <c r="D262" s="10" t="n">
        <v>0</v>
      </c>
      <c r="E262" s="10" t="n">
        <v>0</v>
      </c>
      <c r="F262" s="10" t="n">
        <v>0</v>
      </c>
      <c r="G262" s="10" t="n">
        <v>4</v>
      </c>
      <c r="H262" s="10" t="n">
        <v>6.87</v>
      </c>
      <c r="I262" s="10" t="n">
        <v>6.87</v>
      </c>
      <c r="J262" s="10" t="n">
        <v>0</v>
      </c>
      <c r="K262" s="10" t="n">
        <v>5</v>
      </c>
      <c r="L262" s="10" t="n">
        <v>12.88</v>
      </c>
      <c r="M262" s="10" t="n">
        <v>12.88</v>
      </c>
      <c r="N262" s="10" t="n">
        <v>0</v>
      </c>
      <c r="O262" s="10" t="n">
        <v>9</v>
      </c>
      <c r="P262" s="10" t="n">
        <v>19.75</v>
      </c>
      <c r="Q262" s="10" t="n">
        <v>19.75</v>
      </c>
      <c r="R262" s="10" t="n">
        <v>0</v>
      </c>
      <c r="S262" s="9" t="n">
        <v>0</v>
      </c>
      <c r="T262" s="9" t="n">
        <v>0</v>
      </c>
      <c r="U262" s="9" t="inlineStr">
        <is>
          <t>解除済</t>
        </is>
      </c>
      <c r="V262" s="9" t="n"/>
      <c r="W262" s="9" t="n"/>
    </row>
    <row r="263">
      <c r="A263" s="7" t="n">
        <v>579161</v>
      </c>
      <c r="B263" s="7" t="inlineStr">
        <is>
          <t>Trend Agency Co., Ltd.</t>
        </is>
      </c>
      <c r="C263" s="8" t="n">
        <v>2</v>
      </c>
      <c r="D263" s="8" t="n">
        <v>4.31</v>
      </c>
      <c r="E263" s="8" t="n">
        <v>2.15</v>
      </c>
      <c r="F263" s="8" t="n">
        <v>2.15</v>
      </c>
      <c r="G263" s="8" t="n">
        <v>2</v>
      </c>
      <c r="H263" s="8" t="n">
        <v>6.49</v>
      </c>
      <c r="I263" s="8" t="n">
        <v>3.24</v>
      </c>
      <c r="J263" s="8" t="n">
        <v>3.24</v>
      </c>
      <c r="K263" s="8" t="n">
        <v>2</v>
      </c>
      <c r="L263" s="8" t="n">
        <v>8.66</v>
      </c>
      <c r="M263" s="8" t="n">
        <v>4.33</v>
      </c>
      <c r="N263" s="8" t="n">
        <v>4.33</v>
      </c>
      <c r="O263" s="8" t="n">
        <v>6</v>
      </c>
      <c r="P263" s="8" t="n">
        <v>19.45</v>
      </c>
      <c r="Q263" s="8" t="n">
        <v>9.73</v>
      </c>
      <c r="R263" s="8" t="n">
        <v>9.73</v>
      </c>
      <c r="S263" s="7" t="inlineStr">
        <is>
          <t>12.脇坂G</t>
        </is>
      </c>
      <c r="T263" s="7" t="inlineStr">
        <is>
          <t>4 Capital 傘下</t>
        </is>
      </c>
      <c r="U263" s="7" t="inlineStr">
        <is>
          <t>アクティブ</t>
        </is>
      </c>
      <c r="V263" s="7" t="n"/>
      <c r="W263" s="7" t="inlineStr">
        <is>
          <t>脇坂グループ・・・イントロデューサー分も、マネージャーフィー0.25%も脇坂さんに報告、Goo分は0.25%</t>
        </is>
      </c>
    </row>
    <row r="264">
      <c r="A264" s="9" t="n">
        <v>578002</v>
      </c>
      <c r="B264" s="9" t="inlineStr">
        <is>
          <t>Resfeber Co Ltd</t>
        </is>
      </c>
      <c r="C264" s="10" t="n">
        <v>1</v>
      </c>
      <c r="D264" s="10" t="n">
        <v>6</v>
      </c>
      <c r="E264" s="10" t="n">
        <v>6</v>
      </c>
      <c r="F264" s="10" t="n">
        <v>0</v>
      </c>
      <c r="G264" s="10" t="n">
        <v>1</v>
      </c>
      <c r="H264" s="10" t="n">
        <v>6.64</v>
      </c>
      <c r="I264" s="10" t="n">
        <v>6.64</v>
      </c>
      <c r="J264" s="10" t="n">
        <v>0</v>
      </c>
      <c r="K264" s="10" t="n">
        <v>1</v>
      </c>
      <c r="L264" s="10" t="n">
        <v>6.65</v>
      </c>
      <c r="M264" s="10" t="n">
        <v>6.65</v>
      </c>
      <c r="N264" s="10" t="n">
        <v>0</v>
      </c>
      <c r="O264" s="10" t="n">
        <v>3</v>
      </c>
      <c r="P264" s="10" t="n">
        <v>19.3</v>
      </c>
      <c r="Q264" s="10" t="n">
        <v>19.3</v>
      </c>
      <c r="R264" s="10" t="n">
        <v>0</v>
      </c>
      <c r="S264" s="9" t="inlineStr">
        <is>
          <t>3.CHARM Co., Ltd.</t>
        </is>
      </c>
      <c r="T264" s="9" t="n">
        <v>0</v>
      </c>
      <c r="U264" s="9" t="inlineStr">
        <is>
          <t>既得確保</t>
        </is>
      </c>
      <c r="V264" s="9" t="n"/>
      <c r="W264" s="9" t="n"/>
    </row>
    <row r="265">
      <c r="A265" s="7" t="n">
        <v>569353</v>
      </c>
      <c r="B265" s="7" t="inlineStr">
        <is>
          <t>Sakurai, Mikio</t>
        </is>
      </c>
      <c r="C265" s="8" t="n">
        <v>4</v>
      </c>
      <c r="D265" s="8" t="n">
        <v>5.24</v>
      </c>
      <c r="E265" s="8" t="n">
        <v>5.24</v>
      </c>
      <c r="F265" s="8" t="n">
        <v>0</v>
      </c>
      <c r="G265" s="8" t="n">
        <v>4</v>
      </c>
      <c r="H265" s="8" t="n">
        <v>5.95</v>
      </c>
      <c r="I265" s="8" t="n">
        <v>5.95</v>
      </c>
      <c r="J265" s="8" t="n">
        <v>0</v>
      </c>
      <c r="K265" s="8" t="n">
        <v>5</v>
      </c>
      <c r="L265" s="8" t="n">
        <v>7.29</v>
      </c>
      <c r="M265" s="8" t="n">
        <v>7.29</v>
      </c>
      <c r="N265" s="8" t="n">
        <v>0</v>
      </c>
      <c r="O265" s="8" t="n">
        <v>13</v>
      </c>
      <c r="P265" s="8" t="n">
        <v>18.48</v>
      </c>
      <c r="Q265" s="8" t="n">
        <v>18.48</v>
      </c>
      <c r="R265" s="8" t="n">
        <v>0</v>
      </c>
      <c r="S265" s="7" t="inlineStr">
        <is>
          <t>3.CHARM Co., Ltd.</t>
        </is>
      </c>
      <c r="T265" s="7" t="n">
        <v>0</v>
      </c>
      <c r="U265" s="7" t="inlineStr">
        <is>
          <t>既得確保</t>
        </is>
      </c>
      <c r="V265" s="7" t="n"/>
      <c r="W265" s="7" t="n"/>
    </row>
    <row r="266">
      <c r="A266" s="9" t="n">
        <v>566972</v>
      </c>
      <c r="B266" s="9" t="inlineStr">
        <is>
          <t>Yamamoto, Manabu</t>
        </is>
      </c>
      <c r="C266" s="10" t="n">
        <v>1</v>
      </c>
      <c r="D266" s="10" t="n">
        <v>5.97</v>
      </c>
      <c r="E266" s="10" t="n">
        <v>5.97</v>
      </c>
      <c r="F266" s="10" t="n">
        <v>0</v>
      </c>
      <c r="G266" s="10" t="n">
        <v>1</v>
      </c>
      <c r="H266" s="10" t="n">
        <v>6.17</v>
      </c>
      <c r="I266" s="10" t="n">
        <v>6.17</v>
      </c>
      <c r="J266" s="10" t="n">
        <v>0</v>
      </c>
      <c r="K266" s="10" t="n">
        <v>1</v>
      </c>
      <c r="L266" s="10" t="n">
        <v>5.93</v>
      </c>
      <c r="M266" s="10" t="n">
        <v>5.93</v>
      </c>
      <c r="N266" s="10" t="n">
        <v>0</v>
      </c>
      <c r="O266" s="10" t="n">
        <v>3</v>
      </c>
      <c r="P266" s="10" t="n">
        <v>18.07</v>
      </c>
      <c r="Q266" s="10" t="n">
        <v>18.07</v>
      </c>
      <c r="R266" s="10" t="n">
        <v>0</v>
      </c>
      <c r="S266" s="9" t="inlineStr">
        <is>
          <t>報告しない＞他社</t>
        </is>
      </c>
      <c r="T266" s="9" t="n"/>
      <c r="U266" s="9" t="n"/>
      <c r="V266" s="9" t="n"/>
      <c r="W266" s="9" t="n"/>
    </row>
    <row r="267">
      <c r="A267" s="7" t="n">
        <v>574043</v>
      </c>
      <c r="B267" s="7" t="inlineStr">
        <is>
          <t>Seki, Takuma</t>
        </is>
      </c>
      <c r="C267" s="8" t="n">
        <v>3</v>
      </c>
      <c r="D267" s="8" t="n">
        <v>4.53</v>
      </c>
      <c r="E267" s="8" t="n">
        <v>4.53</v>
      </c>
      <c r="F267" s="8" t="n">
        <v>0</v>
      </c>
      <c r="G267" s="8" t="n">
        <v>3</v>
      </c>
      <c r="H267" s="8" t="n">
        <v>6.19</v>
      </c>
      <c r="I267" s="8" t="n">
        <v>6.19</v>
      </c>
      <c r="J267" s="8" t="n">
        <v>0</v>
      </c>
      <c r="K267" s="8" t="n">
        <v>3</v>
      </c>
      <c r="L267" s="8" t="n">
        <v>7.24</v>
      </c>
      <c r="M267" s="8" t="n">
        <v>7.24</v>
      </c>
      <c r="N267" s="8" t="n">
        <v>0</v>
      </c>
      <c r="O267" s="8" t="n">
        <v>9</v>
      </c>
      <c r="P267" s="8" t="n">
        <v>17.96</v>
      </c>
      <c r="Q267" s="8" t="n">
        <v>17.96</v>
      </c>
      <c r="R267" s="8" t="n">
        <v>0</v>
      </c>
      <c r="S267" s="7" t="inlineStr">
        <is>
          <t>2.旧川村G (Gift)</t>
        </is>
      </c>
      <c r="T267" s="7" t="n">
        <v>0</v>
      </c>
      <c r="U267" s="7" t="inlineStr">
        <is>
          <t>既得確保</t>
        </is>
      </c>
      <c r="V267" s="7" t="n"/>
      <c r="W267" s="7" t="n"/>
    </row>
    <row r="268">
      <c r="A268" s="9" t="n">
        <v>569644</v>
      </c>
      <c r="B268" s="9" t="inlineStr">
        <is>
          <t>Masubuchi, Sota</t>
        </is>
      </c>
      <c r="C268" s="10" t="n">
        <v>1</v>
      </c>
      <c r="D268" s="10" t="n">
        <v>4.38</v>
      </c>
      <c r="E268" s="10" t="n">
        <v>4.38</v>
      </c>
      <c r="F268" s="10" t="n">
        <v>0</v>
      </c>
      <c r="G268" s="10" t="n">
        <v>2</v>
      </c>
      <c r="H268" s="10" t="n">
        <v>6.58</v>
      </c>
      <c r="I268" s="10" t="n">
        <v>6.58</v>
      </c>
      <c r="J268" s="10" t="n">
        <v>0</v>
      </c>
      <c r="K268" s="10" t="n">
        <v>2</v>
      </c>
      <c r="L268" s="10" t="n">
        <v>6.64</v>
      </c>
      <c r="M268" s="10" t="n">
        <v>6.64</v>
      </c>
      <c r="N268" s="10" t="n">
        <v>0</v>
      </c>
      <c r="O268" s="10" t="n">
        <v>5</v>
      </c>
      <c r="P268" s="10" t="n">
        <v>17.61</v>
      </c>
      <c r="Q268" s="10" t="n">
        <v>17.61</v>
      </c>
      <c r="R268" s="10" t="n">
        <v>0</v>
      </c>
      <c r="S268" s="9" t="inlineStr">
        <is>
          <t>9.Decillion</t>
        </is>
      </c>
      <c r="T268" s="9" t="n">
        <v>0</v>
      </c>
      <c r="U268" s="9" t="inlineStr">
        <is>
          <t>アクティブ</t>
        </is>
      </c>
      <c r="V268" s="9" t="n"/>
      <c r="W268" s="9" t="n"/>
    </row>
    <row r="269">
      <c r="A269" s="7" t="n">
        <v>570406</v>
      </c>
      <c r="B269" s="7" t="inlineStr">
        <is>
          <t>Isobe, Yasunori</t>
        </is>
      </c>
      <c r="C269" s="8" t="n">
        <v>1</v>
      </c>
      <c r="D269" s="8" t="n">
        <v>3.97</v>
      </c>
      <c r="E269" s="8" t="n">
        <v>3.97</v>
      </c>
      <c r="F269" s="8" t="n">
        <v>0</v>
      </c>
      <c r="G269" s="8" t="n">
        <v>1</v>
      </c>
      <c r="H269" s="8" t="n">
        <v>5.95</v>
      </c>
      <c r="I269" s="8" t="n">
        <v>5.95</v>
      </c>
      <c r="J269" s="8" t="n">
        <v>0</v>
      </c>
      <c r="K269" s="8" t="n">
        <v>1</v>
      </c>
      <c r="L269" s="8" t="n">
        <v>7.3</v>
      </c>
      <c r="M269" s="8" t="n">
        <v>7.3</v>
      </c>
      <c r="N269" s="8" t="n">
        <v>0</v>
      </c>
      <c r="O269" s="8" t="n">
        <v>3</v>
      </c>
      <c r="P269" s="8" t="n">
        <v>17.23</v>
      </c>
      <c r="Q269" s="8" t="n">
        <v>17.23</v>
      </c>
      <c r="R269" s="8" t="n">
        <v>0</v>
      </c>
      <c r="S269" s="7" t="inlineStr">
        <is>
          <t>3.CHARM Co., Ltd.</t>
        </is>
      </c>
      <c r="T269" s="7" t="n">
        <v>0</v>
      </c>
      <c r="U269" s="7" t="inlineStr">
        <is>
          <t>既得確保</t>
        </is>
      </c>
      <c r="V269" s="7" t="n"/>
      <c r="W269" s="7" t="n"/>
    </row>
    <row r="270">
      <c r="A270" s="9" t="n">
        <v>574990</v>
      </c>
      <c r="B270" s="9" t="inlineStr">
        <is>
          <t>Arai, Kenichi</t>
        </is>
      </c>
      <c r="C270" s="10" t="n">
        <v>2</v>
      </c>
      <c r="D270" s="10" t="n">
        <v>4.16</v>
      </c>
      <c r="E270" s="10" t="n">
        <v>2.08</v>
      </c>
      <c r="F270" s="10" t="n">
        <v>2.08</v>
      </c>
      <c r="G270" s="10" t="n">
        <v>2</v>
      </c>
      <c r="H270" s="10" t="n">
        <v>5.88</v>
      </c>
      <c r="I270" s="10" t="n">
        <v>2.94</v>
      </c>
      <c r="J270" s="10" t="n">
        <v>2.94</v>
      </c>
      <c r="K270" s="10" t="n">
        <v>2</v>
      </c>
      <c r="L270" s="10" t="n">
        <v>7.16</v>
      </c>
      <c r="M270" s="10" t="n">
        <v>3.58</v>
      </c>
      <c r="N270" s="10" t="n">
        <v>3.58</v>
      </c>
      <c r="O270" s="10" t="n">
        <v>6</v>
      </c>
      <c r="P270" s="10" t="n">
        <v>17.2</v>
      </c>
      <c r="Q270" s="10" t="n">
        <v>8.6</v>
      </c>
      <c r="R270" s="10" t="n">
        <v>8.6</v>
      </c>
      <c r="S270" s="9" t="inlineStr">
        <is>
          <t>12.脇坂G</t>
        </is>
      </c>
      <c r="T270" s="9" t="inlineStr">
        <is>
          <t>4 Capital 傘下</t>
        </is>
      </c>
      <c r="U270" s="9" t="inlineStr">
        <is>
          <t>アクティブ</t>
        </is>
      </c>
      <c r="V270" s="9" t="n"/>
      <c r="W270" s="9" t="inlineStr">
        <is>
          <t>脇坂グループ・・・イントロデューサー分も、マネージャーフィー0.25%も脇坂さんに報告、Goo分は0.25%</t>
        </is>
      </c>
    </row>
    <row r="271">
      <c r="A271" s="7" t="n">
        <v>569169</v>
      </c>
      <c r="B271" s="7" t="inlineStr">
        <is>
          <t>Saito, Shunsuke</t>
        </is>
      </c>
      <c r="C271" s="8" t="n">
        <v>1</v>
      </c>
      <c r="D271" s="8" t="n">
        <v>12.19</v>
      </c>
      <c r="E271" s="8" t="n">
        <v>0</v>
      </c>
      <c r="F271" s="8" t="n">
        <v>0</v>
      </c>
      <c r="G271" s="8" t="n">
        <v>1</v>
      </c>
      <c r="H271" s="8" t="n">
        <v>13.87</v>
      </c>
      <c r="I271" s="8" t="n">
        <v>0</v>
      </c>
      <c r="J271" s="8" t="n">
        <v>0</v>
      </c>
      <c r="K271" s="8" t="n">
        <v>1</v>
      </c>
      <c r="L271" s="8" t="n">
        <v>7.48</v>
      </c>
      <c r="M271" s="8" t="n">
        <v>0</v>
      </c>
      <c r="N271" s="8" t="n">
        <v>0</v>
      </c>
      <c r="O271" s="8" t="n">
        <v>3</v>
      </c>
      <c r="P271" s="8" t="n">
        <v>33.53</v>
      </c>
      <c r="Q271" s="8" t="n">
        <v>0</v>
      </c>
      <c r="R271" s="8" t="n">
        <v>0</v>
      </c>
      <c r="S271" s="7" t="inlineStr">
        <is>
          <t>1.道下G</t>
        </is>
      </c>
      <c r="T271" s="7" t="inlineStr">
        <is>
          <t>小宮山G</t>
        </is>
      </c>
      <c r="U271" s="7" t="inlineStr">
        <is>
          <t>移籍</t>
        </is>
      </c>
      <c r="V271" s="7" t="inlineStr">
        <is>
          <t>運用委託報告過去あり</t>
        </is>
      </c>
      <c r="W271" s="7" t="inlineStr">
        <is>
          <t>道下グループ・・・イントロデューサー分も、マネージャーフィー0.25%も道下さんに報告、Goo分は0.25%</t>
        </is>
      </c>
    </row>
    <row r="272">
      <c r="A272" s="9" t="n">
        <v>569643</v>
      </c>
      <c r="B272" s="9" t="inlineStr">
        <is>
          <t>Kato, Koshiro</t>
        </is>
      </c>
      <c r="C272" s="10" t="n">
        <v>2</v>
      </c>
      <c r="D272" s="10" t="n">
        <v>2.73</v>
      </c>
      <c r="E272" s="10" t="n">
        <v>2.73</v>
      </c>
      <c r="F272" s="10" t="n">
        <v>0</v>
      </c>
      <c r="G272" s="10" t="n">
        <v>4</v>
      </c>
      <c r="H272" s="10" t="n">
        <v>6.01</v>
      </c>
      <c r="I272" s="10" t="n">
        <v>6.01</v>
      </c>
      <c r="J272" s="10" t="n">
        <v>0</v>
      </c>
      <c r="K272" s="10" t="n">
        <v>4</v>
      </c>
      <c r="L272" s="10" t="n">
        <v>6.98</v>
      </c>
      <c r="M272" s="10" t="n">
        <v>6.98</v>
      </c>
      <c r="N272" s="10" t="n">
        <v>0</v>
      </c>
      <c r="O272" s="10" t="n">
        <v>10</v>
      </c>
      <c r="P272" s="10" t="n">
        <v>15.71</v>
      </c>
      <c r="Q272" s="10" t="n">
        <v>15.71</v>
      </c>
      <c r="R272" s="10" t="n">
        <v>0</v>
      </c>
      <c r="S272" s="9" t="inlineStr">
        <is>
          <t>個別</t>
        </is>
      </c>
      <c r="T272" s="9" t="inlineStr">
        <is>
          <t>児玉G</t>
        </is>
      </c>
      <c r="U272" s="9" t="inlineStr">
        <is>
          <t>アクティブ</t>
        </is>
      </c>
      <c r="V272" s="9" t="n"/>
      <c r="W272" s="9" t="n"/>
    </row>
    <row r="273">
      <c r="A273" s="7" t="n">
        <v>581079</v>
      </c>
      <c r="B273" s="7" t="inlineStr">
        <is>
          <t>Kobayashi, Yuki</t>
        </is>
      </c>
      <c r="C273" s="8" t="n">
        <v>1</v>
      </c>
      <c r="D273" s="8" t="n">
        <v>5.29</v>
      </c>
      <c r="E273" s="8" t="n">
        <v>5.29</v>
      </c>
      <c r="F273" s="8" t="n">
        <v>0</v>
      </c>
      <c r="G273" s="8" t="n">
        <v>1</v>
      </c>
      <c r="H273" s="8" t="n">
        <v>5.32</v>
      </c>
      <c r="I273" s="8" t="n">
        <v>5.32</v>
      </c>
      <c r="J273" s="8" t="n">
        <v>0</v>
      </c>
      <c r="K273" s="8" t="n">
        <v>1</v>
      </c>
      <c r="L273" s="8" t="n">
        <v>4.8</v>
      </c>
      <c r="M273" s="8" t="n">
        <v>4.8</v>
      </c>
      <c r="N273" s="8" t="n">
        <v>0</v>
      </c>
      <c r="O273" s="8" t="n">
        <v>3</v>
      </c>
      <c r="P273" s="8" t="n">
        <v>15.4</v>
      </c>
      <c r="Q273" s="8" t="n">
        <v>15.4</v>
      </c>
      <c r="R273" s="8" t="n">
        <v>0</v>
      </c>
      <c r="S273" s="7" t="inlineStr">
        <is>
          <t>個別</t>
        </is>
      </c>
      <c r="T273" s="7" t="inlineStr">
        <is>
          <t>大山さん</t>
        </is>
      </c>
      <c r="U273" s="7" t="inlineStr">
        <is>
          <t>アクティブ</t>
        </is>
      </c>
      <c r="V273" s="7" t="n"/>
      <c r="W273" s="7" t="n"/>
    </row>
    <row r="274">
      <c r="A274" s="9" t="n">
        <v>571538</v>
      </c>
      <c r="B274" s="9" t="inlineStr">
        <is>
          <t>Kondo, Yuya</t>
        </is>
      </c>
      <c r="C274" s="10" t="n">
        <v>2</v>
      </c>
      <c r="D274" s="10" t="n">
        <v>6.91</v>
      </c>
      <c r="E274" s="10" t="n">
        <v>6.91</v>
      </c>
      <c r="F274" s="10" t="n">
        <v>0</v>
      </c>
      <c r="G274" s="10" t="n">
        <v>2</v>
      </c>
      <c r="H274" s="10" t="n">
        <v>8.18</v>
      </c>
      <c r="I274" s="10" t="n">
        <v>8.18</v>
      </c>
      <c r="J274" s="10" t="n">
        <v>0</v>
      </c>
      <c r="K274" s="10" t="n">
        <v>2</v>
      </c>
      <c r="L274" s="10" t="n">
        <v>8.970000000000001</v>
      </c>
      <c r="M274" s="10" t="n">
        <v>8.970000000000001</v>
      </c>
      <c r="N274" s="10" t="n">
        <v>0</v>
      </c>
      <c r="O274" s="10" t="n">
        <v>6</v>
      </c>
      <c r="P274" s="10" t="n">
        <v>24.06</v>
      </c>
      <c r="Q274" s="10" t="n">
        <v>24.06</v>
      </c>
      <c r="R274" s="10" t="n">
        <v>0</v>
      </c>
      <c r="S274" s="9" t="inlineStr">
        <is>
          <t>3.CHARM Co., Ltd.</t>
        </is>
      </c>
      <c r="T274" s="9" t="n">
        <v>0</v>
      </c>
      <c r="U274" s="9" t="inlineStr">
        <is>
          <t>既得確保</t>
        </is>
      </c>
      <c r="V274" s="9" t="n"/>
      <c r="W274" s="9" t="n"/>
    </row>
    <row r="275">
      <c r="A275" s="7" t="n">
        <v>560448</v>
      </c>
      <c r="B275" s="7" t="inlineStr">
        <is>
          <t>Ishikawa, Chiaki</t>
        </is>
      </c>
      <c r="C275" s="8" t="n">
        <v>1</v>
      </c>
      <c r="D275" s="8" t="n">
        <v>7.03</v>
      </c>
      <c r="E275" s="8" t="n">
        <v>7.03</v>
      </c>
      <c r="F275" s="8" t="n">
        <v>0</v>
      </c>
      <c r="G275" s="8" t="n">
        <v>1</v>
      </c>
      <c r="H275" s="8" t="n">
        <v>7.06</v>
      </c>
      <c r="I275" s="8" t="n">
        <v>7.06</v>
      </c>
      <c r="J275" s="8" t="n">
        <v>0</v>
      </c>
      <c r="K275" s="8" t="n">
        <v>0</v>
      </c>
      <c r="L275" s="8" t="n">
        <v>0</v>
      </c>
      <c r="M275" s="8" t="n">
        <v>0</v>
      </c>
      <c r="N275" s="8" t="n">
        <v>0</v>
      </c>
      <c r="O275" s="8" t="n">
        <v>2</v>
      </c>
      <c r="P275" s="8" t="n">
        <v>14.09</v>
      </c>
      <c r="Q275" s="8" t="n">
        <v>14.09</v>
      </c>
      <c r="R275" s="8" t="n">
        <v>0</v>
      </c>
      <c r="S275" s="7" t="inlineStr">
        <is>
          <t>報告しない＞他社</t>
        </is>
      </c>
      <c r="T275" s="7" t="n"/>
      <c r="U275" s="7" t="n"/>
      <c r="V275" s="7" t="n"/>
      <c r="W275" s="7" t="n"/>
    </row>
    <row r="276">
      <c r="A276" s="9" t="n">
        <v>562812</v>
      </c>
      <c r="B276" s="9" t="inlineStr">
        <is>
          <t>Odaira, Mizuki</t>
        </is>
      </c>
      <c r="C276" s="10" t="n">
        <v>1</v>
      </c>
      <c r="D276" s="10" t="n">
        <v>4.78</v>
      </c>
      <c r="E276" s="10" t="n">
        <v>4.78</v>
      </c>
      <c r="F276" s="10" t="n">
        <v>0</v>
      </c>
      <c r="G276" s="10" t="n">
        <v>1</v>
      </c>
      <c r="H276" s="10" t="n">
        <v>4.64</v>
      </c>
      <c r="I276" s="10" t="n">
        <v>4.64</v>
      </c>
      <c r="J276" s="10" t="n">
        <v>0</v>
      </c>
      <c r="K276" s="10" t="n">
        <v>1</v>
      </c>
      <c r="L276" s="10" t="n">
        <v>4.28</v>
      </c>
      <c r="M276" s="10" t="n">
        <v>4.28</v>
      </c>
      <c r="N276" s="10" t="n">
        <v>0</v>
      </c>
      <c r="O276" s="10" t="n">
        <v>3</v>
      </c>
      <c r="P276" s="10" t="n">
        <v>13.7</v>
      </c>
      <c r="Q276" s="10" t="n">
        <v>13.7</v>
      </c>
      <c r="R276" s="10" t="n">
        <v>0</v>
      </c>
      <c r="S276" s="9" t="inlineStr">
        <is>
          <t>個別</t>
        </is>
      </c>
      <c r="T276" s="9" t="inlineStr">
        <is>
          <t>上野G</t>
        </is>
      </c>
      <c r="U276" s="9" t="inlineStr">
        <is>
          <t>既得確保</t>
        </is>
      </c>
      <c r="V276" s="9" t="n"/>
      <c r="W276" s="9" t="n"/>
    </row>
    <row r="277">
      <c r="A277" s="7" t="n">
        <v>567098</v>
      </c>
      <c r="B277" s="7" t="inlineStr">
        <is>
          <t>Yarino, Mitsuko</t>
        </is>
      </c>
      <c r="C277" s="8" t="n">
        <v>1</v>
      </c>
      <c r="D277" s="8" t="n">
        <v>9.16</v>
      </c>
      <c r="E277" s="8" t="n">
        <v>0</v>
      </c>
      <c r="F277" s="8" t="n">
        <v>0</v>
      </c>
      <c r="G277" s="8" t="n">
        <v>1</v>
      </c>
      <c r="H277" s="8" t="n">
        <v>9.31</v>
      </c>
      <c r="I277" s="8" t="n">
        <v>0</v>
      </c>
      <c r="J277" s="8" t="n">
        <v>0</v>
      </c>
      <c r="K277" s="8" t="n">
        <v>1</v>
      </c>
      <c r="L277" s="8" t="n">
        <v>8.83</v>
      </c>
      <c r="M277" s="8" t="n">
        <v>0</v>
      </c>
      <c r="N277" s="8" t="n">
        <v>0</v>
      </c>
      <c r="O277" s="8" t="n">
        <v>3</v>
      </c>
      <c r="P277" s="8" t="n">
        <v>27.3</v>
      </c>
      <c r="Q277" s="8" t="n">
        <v>0</v>
      </c>
      <c r="R277" s="8" t="n">
        <v>0</v>
      </c>
      <c r="S277" s="7" t="inlineStr">
        <is>
          <t>個別</t>
        </is>
      </c>
      <c r="T277" s="7" t="inlineStr">
        <is>
          <t>Official</t>
        </is>
      </c>
      <c r="U277" s="7" t="inlineStr">
        <is>
          <t>既得確保</t>
        </is>
      </c>
      <c r="V277" s="7" t="n"/>
      <c r="W277" s="7" t="n"/>
    </row>
    <row r="278">
      <c r="A278" s="9" t="n">
        <v>572859</v>
      </c>
      <c r="B278" s="9" t="inlineStr">
        <is>
          <t>Hamaguchi, Masahiro</t>
        </is>
      </c>
      <c r="C278" s="10" t="n">
        <v>1</v>
      </c>
      <c r="D278" s="10" t="n">
        <v>3.94</v>
      </c>
      <c r="E278" s="10" t="n">
        <v>3.94</v>
      </c>
      <c r="F278" s="10" t="n">
        <v>0</v>
      </c>
      <c r="G278" s="10" t="n">
        <v>1</v>
      </c>
      <c r="H278" s="10" t="n">
        <v>4.64</v>
      </c>
      <c r="I278" s="10" t="n">
        <v>4.64</v>
      </c>
      <c r="J278" s="10" t="n">
        <v>0</v>
      </c>
      <c r="K278" s="10" t="n">
        <v>1</v>
      </c>
      <c r="L278" s="10" t="n">
        <v>4.96</v>
      </c>
      <c r="M278" s="10" t="n">
        <v>4.96</v>
      </c>
      <c r="N278" s="10" t="n">
        <v>0</v>
      </c>
      <c r="O278" s="10" t="n">
        <v>3</v>
      </c>
      <c r="P278" s="10" t="n">
        <v>13.54</v>
      </c>
      <c r="Q278" s="10" t="n">
        <v>13.54</v>
      </c>
      <c r="R278" s="10" t="n">
        <v>0</v>
      </c>
      <c r="S278" s="9" t="inlineStr">
        <is>
          <t>個別</t>
        </is>
      </c>
      <c r="T278" s="9" t="inlineStr">
        <is>
          <t>Raftel GK</t>
        </is>
      </c>
      <c r="U278" s="9" t="inlineStr">
        <is>
          <t>アクティブ</t>
        </is>
      </c>
      <c r="V278" s="9" t="n"/>
      <c r="W278" s="9" t="n"/>
    </row>
    <row r="279">
      <c r="A279" s="7" t="n">
        <v>571551</v>
      </c>
      <c r="B279" s="7" t="inlineStr">
        <is>
          <t>Onely Co., Ltd.</t>
        </is>
      </c>
      <c r="C279" s="8" t="n">
        <v>2</v>
      </c>
      <c r="D279" s="8" t="n">
        <v>2.12</v>
      </c>
      <c r="E279" s="8" t="n">
        <v>1.06</v>
      </c>
      <c r="F279" s="8" t="n">
        <v>1.06</v>
      </c>
      <c r="G279" s="8" t="n">
        <v>2</v>
      </c>
      <c r="H279" s="8" t="n">
        <v>4.42</v>
      </c>
      <c r="I279" s="8" t="n">
        <v>2.21</v>
      </c>
      <c r="J279" s="8" t="n">
        <v>2.21</v>
      </c>
      <c r="K279" s="8" t="n">
        <v>2</v>
      </c>
      <c r="L279" s="8" t="n">
        <v>6.74</v>
      </c>
      <c r="M279" s="8" t="n">
        <v>3.37</v>
      </c>
      <c r="N279" s="8" t="n">
        <v>3.37</v>
      </c>
      <c r="O279" s="8" t="n">
        <v>6</v>
      </c>
      <c r="P279" s="8" t="n">
        <v>13.28</v>
      </c>
      <c r="Q279" s="8" t="n">
        <v>6.64</v>
      </c>
      <c r="R279" s="8" t="n">
        <v>6.64</v>
      </c>
      <c r="S279" s="7" t="inlineStr">
        <is>
          <t>12.脇坂G</t>
        </is>
      </c>
      <c r="T279" s="7" t="inlineStr">
        <is>
          <t>Onely G</t>
        </is>
      </c>
      <c r="U279" s="7" t="inlineStr">
        <is>
          <t>アクティブ</t>
        </is>
      </c>
      <c r="V279" s="7" t="n"/>
      <c r="W279" s="7" t="inlineStr">
        <is>
          <t>脇坂グループ・・・イントロデューサー分も、マネージャーフィー0.25%も脇坂さんに報告、Goo分は0.25%</t>
        </is>
      </c>
    </row>
    <row r="280">
      <c r="A280" s="9" t="n">
        <v>576388</v>
      </c>
      <c r="B280" s="9" t="inlineStr">
        <is>
          <t>Nakagawa, Natsuki</t>
        </is>
      </c>
      <c r="C280" s="10" t="n">
        <v>1</v>
      </c>
      <c r="D280" s="10" t="n">
        <v>0.47</v>
      </c>
      <c r="E280" s="10" t="n">
        <v>0.24</v>
      </c>
      <c r="F280" s="10" t="n">
        <v>0.24</v>
      </c>
      <c r="G280" s="10" t="n">
        <v>4</v>
      </c>
      <c r="H280" s="10" t="n">
        <v>3.53</v>
      </c>
      <c r="I280" s="10" t="n">
        <v>1.77</v>
      </c>
      <c r="J280" s="10" t="n">
        <v>1.77</v>
      </c>
      <c r="K280" s="10" t="n">
        <v>4</v>
      </c>
      <c r="L280" s="10" t="n">
        <v>8.43</v>
      </c>
      <c r="M280" s="10" t="n">
        <v>4.21</v>
      </c>
      <c r="N280" s="10" t="n">
        <v>4.21</v>
      </c>
      <c r="O280" s="10" t="n">
        <v>9</v>
      </c>
      <c r="P280" s="10" t="n">
        <v>12.44</v>
      </c>
      <c r="Q280" s="10" t="n">
        <v>6.22</v>
      </c>
      <c r="R280" s="10" t="n">
        <v>6.22</v>
      </c>
      <c r="S280" s="9" t="inlineStr">
        <is>
          <t>1.道下G</t>
        </is>
      </c>
      <c r="T280" s="9" t="inlineStr">
        <is>
          <t>杉本G</t>
        </is>
      </c>
      <c r="U280" s="9" t="inlineStr">
        <is>
          <t>移籍</t>
        </is>
      </c>
      <c r="V280" s="9" t="n"/>
      <c r="W280" s="9" t="inlineStr">
        <is>
          <t>道下グループ・・・イントロデューサー分も、マネージャーフィー0.25%も道下さんに報告、Goo分は0.25%</t>
        </is>
      </c>
    </row>
    <row r="281">
      <c r="A281" s="7" t="n">
        <v>566137</v>
      </c>
      <c r="B281" s="7" t="inlineStr">
        <is>
          <t>Izumi, Kento</t>
        </is>
      </c>
      <c r="C281" s="8" t="n">
        <v>1</v>
      </c>
      <c r="D281" s="8" t="n">
        <v>3.94</v>
      </c>
      <c r="E281" s="8" t="n">
        <v>3.94</v>
      </c>
      <c r="F281" s="8" t="n">
        <v>0</v>
      </c>
      <c r="G281" s="8" t="n">
        <v>1</v>
      </c>
      <c r="H281" s="8" t="n">
        <v>4.05</v>
      </c>
      <c r="I281" s="8" t="n">
        <v>4.05</v>
      </c>
      <c r="J281" s="8" t="n">
        <v>0</v>
      </c>
      <c r="K281" s="8" t="n">
        <v>1</v>
      </c>
      <c r="L281" s="8" t="n">
        <v>3.88</v>
      </c>
      <c r="M281" s="8" t="n">
        <v>3.88</v>
      </c>
      <c r="N281" s="8" t="n">
        <v>0</v>
      </c>
      <c r="O281" s="8" t="n">
        <v>3</v>
      </c>
      <c r="P281" s="8" t="n">
        <v>11.88</v>
      </c>
      <c r="Q281" s="8" t="n">
        <v>11.88</v>
      </c>
      <c r="R281" s="8" t="n">
        <v>0</v>
      </c>
      <c r="S281" s="7" t="inlineStr">
        <is>
          <t>個別</t>
        </is>
      </c>
      <c r="T281" s="7" t="n">
        <v>0</v>
      </c>
      <c r="U281" s="7" t="inlineStr">
        <is>
          <t>既得確保</t>
        </is>
      </c>
      <c r="V281" s="7" t="n"/>
      <c r="W281" s="7" t="n"/>
    </row>
    <row r="282">
      <c r="A282" s="9" t="n">
        <v>563235</v>
      </c>
      <c r="B282" s="9" t="inlineStr">
        <is>
          <t>Endo, Keita</t>
        </is>
      </c>
      <c r="C282" s="10" t="n">
        <v>1</v>
      </c>
      <c r="D282" s="10" t="n">
        <v>3.58</v>
      </c>
      <c r="E282" s="10" t="n">
        <v>3.58</v>
      </c>
      <c r="F282" s="10" t="n">
        <v>0</v>
      </c>
      <c r="G282" s="10" t="n">
        <v>1</v>
      </c>
      <c r="H282" s="10" t="n">
        <v>3.81</v>
      </c>
      <c r="I282" s="10" t="n">
        <v>3.81</v>
      </c>
      <c r="J282" s="10" t="n">
        <v>0</v>
      </c>
      <c r="K282" s="10" t="n">
        <v>1</v>
      </c>
      <c r="L282" s="10" t="n">
        <v>3.73</v>
      </c>
      <c r="M282" s="10" t="n">
        <v>3.73</v>
      </c>
      <c r="N282" s="10" t="n">
        <v>0</v>
      </c>
      <c r="O282" s="10" t="n">
        <v>3</v>
      </c>
      <c r="P282" s="10" t="n">
        <v>11.12</v>
      </c>
      <c r="Q282" s="10" t="n">
        <v>11.12</v>
      </c>
      <c r="R282" s="10" t="n">
        <v>0</v>
      </c>
      <c r="S282" s="9" t="inlineStr">
        <is>
          <t>個別</t>
        </is>
      </c>
      <c r="T282" s="9" t="inlineStr">
        <is>
          <t>遠藤さん</t>
        </is>
      </c>
      <c r="U282" s="9" t="inlineStr">
        <is>
          <t>アクティブ</t>
        </is>
      </c>
      <c r="V282" s="9" t="n"/>
      <c r="W282" s="9" t="n"/>
    </row>
    <row r="283">
      <c r="A283" s="7" t="n">
        <v>580315</v>
      </c>
      <c r="B283" s="7" t="inlineStr">
        <is>
          <t>Kawai, Kaori</t>
        </is>
      </c>
      <c r="C283" s="8" t="n">
        <v>0</v>
      </c>
      <c r="D283" s="8" t="n">
        <v>0</v>
      </c>
      <c r="E283" s="8" t="n">
        <v>0</v>
      </c>
      <c r="F283" s="8" t="n">
        <v>0</v>
      </c>
      <c r="G283" s="8" t="n">
        <v>0</v>
      </c>
      <c r="H283" s="8" t="n">
        <v>0</v>
      </c>
      <c r="I283" s="8" t="n">
        <v>0</v>
      </c>
      <c r="J283" s="8" t="n">
        <v>0</v>
      </c>
      <c r="K283" s="8" t="n">
        <v>2</v>
      </c>
      <c r="L283" s="8" t="n">
        <v>10.34</v>
      </c>
      <c r="M283" s="8" t="n">
        <v>10.34</v>
      </c>
      <c r="N283" s="8" t="n">
        <v>0</v>
      </c>
      <c r="O283" s="8" t="n">
        <v>2</v>
      </c>
      <c r="P283" s="8" t="n">
        <v>10.34</v>
      </c>
      <c r="Q283" s="8" t="n">
        <v>10.34</v>
      </c>
      <c r="R283" s="8" t="n">
        <v>0</v>
      </c>
      <c r="S283" s="7" t="inlineStr">
        <is>
          <t>個別</t>
        </is>
      </c>
      <c r="T283" s="7" t="inlineStr">
        <is>
          <t>今枝さん</t>
        </is>
      </c>
      <c r="U283" s="7" t="inlineStr">
        <is>
          <t>アクティブ</t>
        </is>
      </c>
      <c r="V283" s="7" t="n"/>
      <c r="W283" s="7" t="n"/>
    </row>
    <row r="284">
      <c r="A284" s="9" t="n">
        <v>574764</v>
      </c>
      <c r="B284" s="9" t="inlineStr">
        <is>
          <t>Okada, Takuma</t>
        </is>
      </c>
      <c r="C284" s="10" t="n">
        <v>2</v>
      </c>
      <c r="D284" s="10" t="n">
        <v>1.55</v>
      </c>
      <c r="E284" s="10" t="n">
        <v>0.77</v>
      </c>
      <c r="F284" s="10" t="n">
        <v>0.77</v>
      </c>
      <c r="G284" s="10" t="n">
        <v>2</v>
      </c>
      <c r="H284" s="10" t="n">
        <v>3.55</v>
      </c>
      <c r="I284" s="10" t="n">
        <v>1.77</v>
      </c>
      <c r="J284" s="10" t="n">
        <v>1.77</v>
      </c>
      <c r="K284" s="10" t="n">
        <v>3</v>
      </c>
      <c r="L284" s="10" t="n">
        <v>4.96</v>
      </c>
      <c r="M284" s="10" t="n">
        <v>2.48</v>
      </c>
      <c r="N284" s="10" t="n">
        <v>2.48</v>
      </c>
      <c r="O284" s="10" t="n">
        <v>7</v>
      </c>
      <c r="P284" s="10" t="n">
        <v>10.06</v>
      </c>
      <c r="Q284" s="10" t="n">
        <v>5.03</v>
      </c>
      <c r="R284" s="10" t="n">
        <v>5.03</v>
      </c>
      <c r="S284" s="9" t="inlineStr">
        <is>
          <t>1.道下G</t>
        </is>
      </c>
      <c r="T284" s="9" t="inlineStr">
        <is>
          <t>小宮山G</t>
        </is>
      </c>
      <c r="U284" s="9" t="inlineStr">
        <is>
          <t>移籍</t>
        </is>
      </c>
      <c r="V284" s="9" t="n"/>
      <c r="W284" s="9" t="inlineStr">
        <is>
          <t>道下グループ・・・イントロデューサー分も、マネージャーフィー0.25%も道下さんに報告、Goo分は0.25%</t>
        </is>
      </c>
    </row>
    <row r="285">
      <c r="A285" s="7" t="n">
        <v>572522</v>
      </c>
      <c r="B285" s="7" t="inlineStr">
        <is>
          <t>Aoyama, Takuya</t>
        </is>
      </c>
      <c r="C285" s="8" t="n">
        <v>1</v>
      </c>
      <c r="D285" s="8" t="n">
        <v>2.77</v>
      </c>
      <c r="E285" s="8" t="n">
        <v>2.77</v>
      </c>
      <c r="F285" s="8" t="n">
        <v>0</v>
      </c>
      <c r="G285" s="8" t="n">
        <v>1</v>
      </c>
      <c r="H285" s="8" t="n">
        <v>3.25</v>
      </c>
      <c r="I285" s="8" t="n">
        <v>3.25</v>
      </c>
      <c r="J285" s="8" t="n">
        <v>0</v>
      </c>
      <c r="K285" s="8" t="n">
        <v>1</v>
      </c>
      <c r="L285" s="8" t="n">
        <v>3.44</v>
      </c>
      <c r="M285" s="8" t="n">
        <v>3.44</v>
      </c>
      <c r="N285" s="8" t="n">
        <v>0</v>
      </c>
      <c r="O285" s="8" t="n">
        <v>3</v>
      </c>
      <c r="P285" s="8" t="n">
        <v>9.460000000000001</v>
      </c>
      <c r="Q285" s="8" t="n">
        <v>9.460000000000001</v>
      </c>
      <c r="R285" s="8" t="n">
        <v>0</v>
      </c>
      <c r="S285" s="7" t="inlineStr">
        <is>
          <t>3.CHARM Co., Ltd.</t>
        </is>
      </c>
      <c r="T285" s="7" t="n">
        <v>0</v>
      </c>
      <c r="U285" s="7" t="inlineStr">
        <is>
          <t>既得確保</t>
        </is>
      </c>
      <c r="V285" s="7" t="n"/>
      <c r="W285" s="7" t="n"/>
    </row>
    <row r="286">
      <c r="A286" s="9" t="n">
        <v>575974</v>
      </c>
      <c r="B286" s="9" t="inlineStr">
        <is>
          <t>Takamura, Saki</t>
        </is>
      </c>
      <c r="C286" s="10" t="n">
        <v>1</v>
      </c>
      <c r="D286" s="10" t="n">
        <v>1.37</v>
      </c>
      <c r="E286" s="10" t="n">
        <v>1.37</v>
      </c>
      <c r="F286" s="10" t="n">
        <v>0</v>
      </c>
      <c r="G286" s="10" t="n">
        <v>1</v>
      </c>
      <c r="H286" s="10" t="n">
        <v>3.12</v>
      </c>
      <c r="I286" s="10" t="n">
        <v>3.12</v>
      </c>
      <c r="J286" s="10" t="n">
        <v>0</v>
      </c>
      <c r="K286" s="10" t="n">
        <v>1</v>
      </c>
      <c r="L286" s="10" t="n">
        <v>4.52</v>
      </c>
      <c r="M286" s="10" t="n">
        <v>4.52</v>
      </c>
      <c r="N286" s="10" t="n">
        <v>0</v>
      </c>
      <c r="O286" s="10" t="n">
        <v>3</v>
      </c>
      <c r="P286" s="10" t="n">
        <v>9.02</v>
      </c>
      <c r="Q286" s="10" t="n">
        <v>9.02</v>
      </c>
      <c r="R286" s="10" t="n">
        <v>0</v>
      </c>
      <c r="S286" s="9" t="inlineStr">
        <is>
          <t>11.フミヤG</t>
        </is>
      </c>
      <c r="T286" s="9" t="n">
        <v>0</v>
      </c>
      <c r="U286" s="9" t="inlineStr">
        <is>
          <t>既得確保</t>
        </is>
      </c>
      <c r="V286" s="9" t="n"/>
      <c r="W286" s="9" t="n"/>
    </row>
    <row r="287">
      <c r="A287" s="7" t="n">
        <v>581251</v>
      </c>
      <c r="B287" s="7" t="inlineStr">
        <is>
          <t>Ace Co., Ltd.</t>
        </is>
      </c>
      <c r="C287" s="8" t="n">
        <v>3</v>
      </c>
      <c r="D287" s="8" t="n">
        <v>1.98</v>
      </c>
      <c r="E287" s="8" t="n">
        <v>0</v>
      </c>
      <c r="F287" s="8" t="n">
        <v>0</v>
      </c>
      <c r="G287" s="8" t="n">
        <v>3</v>
      </c>
      <c r="H287" s="8" t="n">
        <v>8.06</v>
      </c>
      <c r="I287" s="8" t="n">
        <v>0</v>
      </c>
      <c r="J287" s="8" t="n">
        <v>0</v>
      </c>
      <c r="K287" s="8" t="n">
        <v>3</v>
      </c>
      <c r="L287" s="8" t="n">
        <v>7.35</v>
      </c>
      <c r="M287" s="8" t="n">
        <v>0</v>
      </c>
      <c r="N287" s="8" t="n">
        <v>0</v>
      </c>
      <c r="O287" s="8" t="n">
        <v>9</v>
      </c>
      <c r="P287" s="8" t="n">
        <v>17.39</v>
      </c>
      <c r="Q287" s="8" t="n">
        <v>0</v>
      </c>
      <c r="R287" s="8" t="n">
        <v>0</v>
      </c>
      <c r="S287" s="7" t="inlineStr">
        <is>
          <t>4.March G</t>
        </is>
      </c>
      <c r="T287" s="7" t="n">
        <v>0</v>
      </c>
      <c r="U287" s="7" t="inlineStr">
        <is>
          <t>アクティブ</t>
        </is>
      </c>
      <c r="V287" s="7" t="n"/>
      <c r="W287" s="7" t="inlineStr">
        <is>
          <t>March一樹・・・イントロデューサー分も、マネージャーフィー0.25%も一樹さんに報告、Goo分は0.25%</t>
        </is>
      </c>
    </row>
    <row r="288">
      <c r="A288" s="9" t="n">
        <v>572873</v>
      </c>
      <c r="B288" s="9" t="inlineStr">
        <is>
          <t>Minami, Ryosuke</t>
        </is>
      </c>
      <c r="C288" s="10" t="n">
        <v>1</v>
      </c>
      <c r="D288" s="10" t="n">
        <v>1.63</v>
      </c>
      <c r="E288" s="10" t="n">
        <v>1.63</v>
      </c>
      <c r="F288" s="10" t="n">
        <v>0</v>
      </c>
      <c r="G288" s="10" t="n">
        <v>1</v>
      </c>
      <c r="H288" s="10" t="n">
        <v>3.08</v>
      </c>
      <c r="I288" s="10" t="n">
        <v>3.08</v>
      </c>
      <c r="J288" s="10" t="n">
        <v>0</v>
      </c>
      <c r="K288" s="10" t="n">
        <v>1</v>
      </c>
      <c r="L288" s="10" t="n">
        <v>3.68</v>
      </c>
      <c r="M288" s="10" t="n">
        <v>3.68</v>
      </c>
      <c r="N288" s="10" t="n">
        <v>0</v>
      </c>
      <c r="O288" s="10" t="n">
        <v>3</v>
      </c>
      <c r="P288" s="10" t="n">
        <v>8.390000000000001</v>
      </c>
      <c r="Q288" s="10" t="n">
        <v>8.390000000000001</v>
      </c>
      <c r="R288" s="10" t="n">
        <v>0</v>
      </c>
      <c r="S288" s="9" t="inlineStr">
        <is>
          <t>個別</t>
        </is>
      </c>
      <c r="T288" s="9" t="inlineStr">
        <is>
          <t>児玉G</t>
        </is>
      </c>
      <c r="U288" s="9" t="inlineStr">
        <is>
          <t>アクティブ</t>
        </is>
      </c>
      <c r="V288" s="9" t="n"/>
      <c r="W288" s="9" t="n"/>
    </row>
    <row r="289">
      <c r="A289" s="7" t="n">
        <v>577356</v>
      </c>
      <c r="B289" s="7" t="inlineStr">
        <is>
          <t>Otani, Riku</t>
        </is>
      </c>
      <c r="C289" s="8" t="n">
        <v>1</v>
      </c>
      <c r="D289" s="8" t="n">
        <v>1.79</v>
      </c>
      <c r="E289" s="8" t="n">
        <v>0.9</v>
      </c>
      <c r="F289" s="8" t="n">
        <v>0.9</v>
      </c>
      <c r="G289" s="8" t="n">
        <v>1</v>
      </c>
      <c r="H289" s="8" t="n">
        <v>2.96</v>
      </c>
      <c r="I289" s="8" t="n">
        <v>1.48</v>
      </c>
      <c r="J289" s="8" t="n">
        <v>1.48</v>
      </c>
      <c r="K289" s="8" t="n">
        <v>1</v>
      </c>
      <c r="L289" s="8" t="n">
        <v>3.03</v>
      </c>
      <c r="M289" s="8" t="n">
        <v>1.51</v>
      </c>
      <c r="N289" s="8" t="n">
        <v>1.51</v>
      </c>
      <c r="O289" s="8" t="n">
        <v>3</v>
      </c>
      <c r="P289" s="8" t="n">
        <v>7.79</v>
      </c>
      <c r="Q289" s="8" t="n">
        <v>3.89</v>
      </c>
      <c r="R289" s="8" t="n">
        <v>3.89</v>
      </c>
      <c r="S289" s="7" t="inlineStr">
        <is>
          <t>1.道下G</t>
        </is>
      </c>
      <c r="T289" s="7" t="inlineStr">
        <is>
          <t>杉本G</t>
        </is>
      </c>
      <c r="U289" s="7" t="inlineStr">
        <is>
          <t>移籍</t>
        </is>
      </c>
      <c r="V289" s="7" t="n"/>
      <c r="W289" s="7" t="inlineStr">
        <is>
          <t>道下グループ・・・イントロデューサー分も、マネージャーフィー0.25%も道下さんに報告、Goo分は0.25%</t>
        </is>
      </c>
    </row>
    <row r="290">
      <c r="A290" s="9" t="n">
        <v>560603</v>
      </c>
      <c r="B290" s="9" t="inlineStr">
        <is>
          <t>Albatross Dream Limited</t>
        </is>
      </c>
      <c r="C290" s="10" t="n">
        <v>1</v>
      </c>
      <c r="D290" s="10" t="n">
        <v>2.52</v>
      </c>
      <c r="E290" s="10" t="n">
        <v>1.26</v>
      </c>
      <c r="F290" s="10" t="n">
        <v>1.26</v>
      </c>
      <c r="G290" s="10" t="n">
        <v>1</v>
      </c>
      <c r="H290" s="10" t="n">
        <v>2.55</v>
      </c>
      <c r="I290" s="10" t="n">
        <v>1.27</v>
      </c>
      <c r="J290" s="10" t="n">
        <v>1.27</v>
      </c>
      <c r="K290" s="10" t="n">
        <v>1</v>
      </c>
      <c r="L290" s="10" t="n">
        <v>2.52</v>
      </c>
      <c r="M290" s="10" t="n">
        <v>1.26</v>
      </c>
      <c r="N290" s="10" t="n">
        <v>1.26</v>
      </c>
      <c r="O290" s="10" t="n">
        <v>3</v>
      </c>
      <c r="P290" s="10" t="n">
        <v>7.59</v>
      </c>
      <c r="Q290" s="10" t="n">
        <v>3.79</v>
      </c>
      <c r="R290" s="10" t="n">
        <v>3.79</v>
      </c>
      <c r="S290" s="9" t="inlineStr">
        <is>
          <t>1.道下G</t>
        </is>
      </c>
      <c r="T290" s="9" t="inlineStr">
        <is>
          <t>佐藤G</t>
        </is>
      </c>
      <c r="U290" s="9" t="inlineStr">
        <is>
          <t>移籍</t>
        </is>
      </c>
      <c r="V290" s="9" t="n"/>
      <c r="W290" s="9" t="inlineStr">
        <is>
          <t>道下グループ・・・イントロデューサー分も、マネージャーフィー0.25%も道下さんに報告、Goo分は0.25%</t>
        </is>
      </c>
    </row>
    <row r="291">
      <c r="A291" s="7" t="n">
        <v>577130</v>
      </c>
      <c r="B291" s="7" t="inlineStr">
        <is>
          <t>Eimoto, Nobuaki</t>
        </is>
      </c>
      <c r="C291" s="8" t="n">
        <v>0</v>
      </c>
      <c r="D291" s="8" t="n">
        <v>0</v>
      </c>
      <c r="E291" s="8" t="n">
        <v>0</v>
      </c>
      <c r="F291" s="8" t="n">
        <v>0</v>
      </c>
      <c r="G291" s="8" t="n">
        <v>2</v>
      </c>
      <c r="H291" s="8" t="n">
        <v>0.25</v>
      </c>
      <c r="I291" s="8" t="n">
        <v>0.12</v>
      </c>
      <c r="J291" s="8" t="n">
        <v>0.12</v>
      </c>
      <c r="K291" s="8" t="n">
        <v>5</v>
      </c>
      <c r="L291" s="8" t="n">
        <v>6.85</v>
      </c>
      <c r="M291" s="8" t="n">
        <v>3.42</v>
      </c>
      <c r="N291" s="8" t="n">
        <v>3.42</v>
      </c>
      <c r="O291" s="8" t="n">
        <v>7</v>
      </c>
      <c r="P291" s="8" t="n">
        <v>7.1</v>
      </c>
      <c r="Q291" s="8" t="n">
        <v>3.55</v>
      </c>
      <c r="R291" s="8" t="n">
        <v>3.55</v>
      </c>
      <c r="S291" s="7" t="inlineStr">
        <is>
          <t>1.道下G</t>
        </is>
      </c>
      <c r="T291" s="7" t="inlineStr">
        <is>
          <t>杉本G</t>
        </is>
      </c>
      <c r="U291" s="7" t="inlineStr">
        <is>
          <t>移籍</t>
        </is>
      </c>
      <c r="V291" s="7" t="n"/>
      <c r="W291" s="7" t="inlineStr">
        <is>
          <t>道下グループ・・・イントロデューサー分も、マネージャーフィー0.25%も道下さんに報告、Goo分は0.25%</t>
        </is>
      </c>
    </row>
    <row r="292">
      <c r="A292" s="9" t="n">
        <v>576640</v>
      </c>
      <c r="B292" s="9" t="inlineStr">
        <is>
          <t>Adachi, Ayaka</t>
        </is>
      </c>
      <c r="C292" s="10" t="n">
        <v>1</v>
      </c>
      <c r="D292" s="10" t="n">
        <v>0.35</v>
      </c>
      <c r="E292" s="10" t="n">
        <v>0.18</v>
      </c>
      <c r="F292" s="10" t="n">
        <v>0.18</v>
      </c>
      <c r="G292" s="10" t="n">
        <v>2</v>
      </c>
      <c r="H292" s="10" t="n">
        <v>2.23</v>
      </c>
      <c r="I292" s="10" t="n">
        <v>1.11</v>
      </c>
      <c r="J292" s="10" t="n">
        <v>1.11</v>
      </c>
      <c r="K292" s="10" t="n">
        <v>2</v>
      </c>
      <c r="L292" s="10" t="n">
        <v>4.21</v>
      </c>
      <c r="M292" s="10" t="n">
        <v>2.1</v>
      </c>
      <c r="N292" s="10" t="n">
        <v>2.1</v>
      </c>
      <c r="O292" s="10" t="n">
        <v>5</v>
      </c>
      <c r="P292" s="10" t="n">
        <v>6.79</v>
      </c>
      <c r="Q292" s="10" t="n">
        <v>3.39</v>
      </c>
      <c r="R292" s="10" t="n">
        <v>3.39</v>
      </c>
      <c r="S292" s="9" t="inlineStr">
        <is>
          <t>1.道下G</t>
        </is>
      </c>
      <c r="T292" s="9" t="inlineStr">
        <is>
          <t>小宮山G</t>
        </is>
      </c>
      <c r="U292" s="9" t="inlineStr">
        <is>
          <t>移籍</t>
        </is>
      </c>
      <c r="V292" s="9" t="n"/>
      <c r="W292" s="9" t="inlineStr">
        <is>
          <t>道下グループ・・・イントロデューサー分も、マネージャーフィー0.25%も道下さんに報告、Goo分は0.25%</t>
        </is>
      </c>
    </row>
    <row r="293">
      <c r="A293" s="7" t="n">
        <v>580281</v>
      </c>
      <c r="B293" s="7" t="inlineStr">
        <is>
          <t>Morimoto, Riichi</t>
        </is>
      </c>
      <c r="C293" s="8" t="n">
        <v>3</v>
      </c>
      <c r="D293" s="8" t="n">
        <v>6.57</v>
      </c>
      <c r="E293" s="8" t="n">
        <v>6.57</v>
      </c>
      <c r="F293" s="8" t="n">
        <v>0</v>
      </c>
      <c r="G293" s="8" t="n">
        <v>0</v>
      </c>
      <c r="H293" s="8" t="n">
        <v>0</v>
      </c>
      <c r="I293" s="8" t="n">
        <v>0</v>
      </c>
      <c r="J293" s="8" t="n">
        <v>0</v>
      </c>
      <c r="K293" s="8" t="n">
        <v>0</v>
      </c>
      <c r="L293" s="8" t="n">
        <v>0</v>
      </c>
      <c r="M293" s="8" t="n">
        <v>0</v>
      </c>
      <c r="N293" s="8" t="n">
        <v>0</v>
      </c>
      <c r="O293" s="8" t="n">
        <v>3</v>
      </c>
      <c r="P293" s="8" t="n">
        <v>6.57</v>
      </c>
      <c r="Q293" s="8" t="n">
        <v>6.57</v>
      </c>
      <c r="R293" s="8" t="n">
        <v>0</v>
      </c>
      <c r="S293" s="7" t="inlineStr">
        <is>
          <t>1.BANK</t>
        </is>
      </c>
      <c r="T293" s="7" t="inlineStr">
        <is>
          <t>プロスペリティ</t>
        </is>
      </c>
      <c r="U293" s="7" t="inlineStr">
        <is>
          <t>アクティブ</t>
        </is>
      </c>
      <c r="V293" s="7" t="n"/>
      <c r="W293" s="7" t="n"/>
    </row>
    <row r="294">
      <c r="A294" s="9" t="n">
        <v>580949</v>
      </c>
      <c r="B294" s="9" t="inlineStr">
        <is>
          <t>Sakakida, Emi</t>
        </is>
      </c>
      <c r="C294" s="10" t="n">
        <v>0</v>
      </c>
      <c r="D294" s="10" t="n">
        <v>0</v>
      </c>
      <c r="E294" s="10" t="n">
        <v>0</v>
      </c>
      <c r="F294" s="10" t="n">
        <v>0</v>
      </c>
      <c r="G294" s="10" t="n">
        <v>0</v>
      </c>
      <c r="H294" s="10" t="n">
        <v>0</v>
      </c>
      <c r="I294" s="10" t="n">
        <v>0</v>
      </c>
      <c r="J294" s="10" t="n">
        <v>0</v>
      </c>
      <c r="K294" s="10" t="n">
        <v>2</v>
      </c>
      <c r="L294" s="10" t="n">
        <v>6.13</v>
      </c>
      <c r="M294" s="10" t="n">
        <v>6.13</v>
      </c>
      <c r="N294" s="10" t="n">
        <v>0</v>
      </c>
      <c r="O294" s="10" t="n">
        <v>2</v>
      </c>
      <c r="P294" s="10" t="n">
        <v>6.13</v>
      </c>
      <c r="Q294" s="10" t="n">
        <v>6.13</v>
      </c>
      <c r="R294" s="10" t="n">
        <v>0</v>
      </c>
      <c r="S294" s="9" t="inlineStr">
        <is>
          <t>6.DOIT</t>
        </is>
      </c>
      <c r="T294" s="9" t="n">
        <v>0</v>
      </c>
      <c r="U294" s="9" t="inlineStr">
        <is>
          <t>アクティブ</t>
        </is>
      </c>
      <c r="V294" s="9" t="n"/>
      <c r="W294" s="9" t="n"/>
    </row>
    <row r="295">
      <c r="A295" s="7" t="n">
        <v>572040</v>
      </c>
      <c r="B295" s="7" t="inlineStr">
        <is>
          <t>Kurita, Naoki</t>
        </is>
      </c>
      <c r="C295" s="8" t="n">
        <v>1</v>
      </c>
      <c r="D295" s="8" t="n">
        <v>1.45</v>
      </c>
      <c r="E295" s="8" t="n">
        <v>1.45</v>
      </c>
      <c r="F295" s="8" t="n">
        <v>0</v>
      </c>
      <c r="G295" s="8" t="n">
        <v>1</v>
      </c>
      <c r="H295" s="8" t="n">
        <v>1.77</v>
      </c>
      <c r="I295" s="8" t="n">
        <v>1.77</v>
      </c>
      <c r="J295" s="8" t="n">
        <v>0</v>
      </c>
      <c r="K295" s="8" t="n">
        <v>1</v>
      </c>
      <c r="L295" s="8" t="n">
        <v>1.92</v>
      </c>
      <c r="M295" s="8" t="n">
        <v>1.92</v>
      </c>
      <c r="N295" s="8" t="n">
        <v>0</v>
      </c>
      <c r="O295" s="8" t="n">
        <v>3</v>
      </c>
      <c r="P295" s="8" t="n">
        <v>5.13</v>
      </c>
      <c r="Q295" s="8" t="n">
        <v>5.13</v>
      </c>
      <c r="R295" s="8" t="n">
        <v>0</v>
      </c>
      <c r="S295" s="7" t="inlineStr">
        <is>
          <t>3.CHARM Co., Ltd.</t>
        </is>
      </c>
      <c r="T295" s="7" t="n">
        <v>0</v>
      </c>
      <c r="U295" s="7" t="inlineStr">
        <is>
          <t>既得確保</t>
        </is>
      </c>
      <c r="V295" s="7" t="n"/>
      <c r="W295" s="7" t="n"/>
    </row>
    <row r="296">
      <c r="A296" s="9" t="n">
        <v>576627</v>
      </c>
      <c r="B296" s="9" t="inlineStr">
        <is>
          <t>Hokka, Shuzo</t>
        </is>
      </c>
      <c r="C296" s="10" t="n">
        <v>1</v>
      </c>
      <c r="D296" s="10" t="n">
        <v>0.04</v>
      </c>
      <c r="E296" s="10" t="n">
        <v>0.02</v>
      </c>
      <c r="F296" s="10" t="n">
        <v>0.02</v>
      </c>
      <c r="G296" s="10" t="n">
        <v>1</v>
      </c>
      <c r="H296" s="10" t="n">
        <v>1.72</v>
      </c>
      <c r="I296" s="10" t="n">
        <v>0.86</v>
      </c>
      <c r="J296" s="10" t="n">
        <v>0.86</v>
      </c>
      <c r="K296" s="10" t="n">
        <v>1</v>
      </c>
      <c r="L296" s="10" t="n">
        <v>3.29</v>
      </c>
      <c r="M296" s="10" t="n">
        <v>1.64</v>
      </c>
      <c r="N296" s="10" t="n">
        <v>1.64</v>
      </c>
      <c r="O296" s="10" t="n">
        <v>3</v>
      </c>
      <c r="P296" s="10" t="n">
        <v>5.04</v>
      </c>
      <c r="Q296" s="10" t="n">
        <v>2.52</v>
      </c>
      <c r="R296" s="10" t="n">
        <v>2.52</v>
      </c>
      <c r="S296" s="9" t="inlineStr">
        <is>
          <t>1.道下G</t>
        </is>
      </c>
      <c r="T296" s="9" t="inlineStr">
        <is>
          <t>五十嵐G</t>
        </is>
      </c>
      <c r="U296" s="9" t="inlineStr">
        <is>
          <t>移籍</t>
        </is>
      </c>
      <c r="V296" s="9" t="n"/>
      <c r="W296" s="9" t="inlineStr">
        <is>
          <t>道下グループ・・・イントロデューサー分も、マネージャーフィー0.25%も道下さんに報告、Goo分は0.25%</t>
        </is>
      </c>
    </row>
    <row r="297">
      <c r="A297" s="7" t="n">
        <v>580366</v>
      </c>
      <c r="B297" s="7" t="inlineStr">
        <is>
          <t>Takeda, Yoichi</t>
        </is>
      </c>
      <c r="C297" s="8" t="n">
        <v>1</v>
      </c>
      <c r="D297" s="8" t="n">
        <v>0.14</v>
      </c>
      <c r="E297" s="8" t="n">
        <v>0.14</v>
      </c>
      <c r="F297" s="8" t="n">
        <v>0</v>
      </c>
      <c r="G297" s="8" t="n">
        <v>2</v>
      </c>
      <c r="H297" s="8" t="n">
        <v>1.6</v>
      </c>
      <c r="I297" s="8" t="n">
        <v>1.6</v>
      </c>
      <c r="J297" s="8" t="n">
        <v>0</v>
      </c>
      <c r="K297" s="8" t="n">
        <v>2</v>
      </c>
      <c r="L297" s="8" t="n">
        <v>3.1</v>
      </c>
      <c r="M297" s="8" t="n">
        <v>3.1</v>
      </c>
      <c r="N297" s="8" t="n">
        <v>0</v>
      </c>
      <c r="O297" s="8" t="n">
        <v>5</v>
      </c>
      <c r="P297" s="8" t="n">
        <v>4.84</v>
      </c>
      <c r="Q297" s="8" t="n">
        <v>4.84</v>
      </c>
      <c r="R297" s="8" t="n">
        <v>0</v>
      </c>
      <c r="S297" s="7" t="inlineStr">
        <is>
          <t>5.Cloud Edge (March)</t>
        </is>
      </c>
      <c r="T297" s="7" t="n">
        <v>0</v>
      </c>
      <c r="U297" s="7" t="inlineStr">
        <is>
          <t>アクティブ</t>
        </is>
      </c>
      <c r="V297" s="7" t="n"/>
      <c r="W297" s="7" t="n"/>
    </row>
    <row r="298">
      <c r="A298" s="9" t="n">
        <v>572851</v>
      </c>
      <c r="B298" s="9" t="inlineStr">
        <is>
          <t>Osanai, Nozomu</t>
        </is>
      </c>
      <c r="C298" s="10" t="n">
        <v>2</v>
      </c>
      <c r="D298" s="10" t="n">
        <v>4.29</v>
      </c>
      <c r="E298" s="10" t="n">
        <v>2.14</v>
      </c>
      <c r="F298" s="10" t="n">
        <v>2.14</v>
      </c>
      <c r="G298" s="10" t="n">
        <v>0</v>
      </c>
      <c r="H298" s="10" t="n">
        <v>0</v>
      </c>
      <c r="I298" s="10" t="n">
        <v>0</v>
      </c>
      <c r="J298" s="10" t="n">
        <v>0</v>
      </c>
      <c r="K298" s="10" t="n">
        <v>0</v>
      </c>
      <c r="L298" s="10" t="n">
        <v>0</v>
      </c>
      <c r="M298" s="10" t="n">
        <v>0</v>
      </c>
      <c r="N298" s="10" t="n">
        <v>0</v>
      </c>
      <c r="O298" s="10" t="n">
        <v>2</v>
      </c>
      <c r="P298" s="10" t="n">
        <v>4.29</v>
      </c>
      <c r="Q298" s="10" t="n">
        <v>2.14</v>
      </c>
      <c r="R298" s="10" t="n">
        <v>2.14</v>
      </c>
      <c r="S298" s="9" t="inlineStr">
        <is>
          <t>12.脇坂G</t>
        </is>
      </c>
      <c r="T298" s="9" t="e">
        <v>#N/A</v>
      </c>
      <c r="U298" s="9" t="e">
        <v>#N/A</v>
      </c>
      <c r="V298" s="9" t="n"/>
      <c r="W298" s="9" t="inlineStr">
        <is>
          <t>脇坂グループ・・・イントロデューサー分も、マネージャーフィー0.25%も脇坂さんに報告、Goo分は0.25%</t>
        </is>
      </c>
    </row>
    <row r="299">
      <c r="A299" s="7" t="n">
        <v>567050</v>
      </c>
      <c r="B299" s="7" t="inlineStr">
        <is>
          <t>100-Life Consulting - FZCO</t>
        </is>
      </c>
      <c r="C299" s="8" t="n">
        <v>1</v>
      </c>
      <c r="D299" s="8" t="n">
        <v>0.93</v>
      </c>
      <c r="E299" s="8" t="n">
        <v>0.93</v>
      </c>
      <c r="F299" s="8" t="n">
        <v>0</v>
      </c>
      <c r="G299" s="8" t="n">
        <v>3</v>
      </c>
      <c r="H299" s="8" t="n">
        <v>2.96</v>
      </c>
      <c r="I299" s="8" t="n">
        <v>2.96</v>
      </c>
      <c r="J299" s="8" t="n">
        <v>0</v>
      </c>
      <c r="K299" s="8" t="n">
        <v>2</v>
      </c>
      <c r="L299" s="8" t="n">
        <v>2.52</v>
      </c>
      <c r="M299" s="8" t="n">
        <v>2.52</v>
      </c>
      <c r="N299" s="8" t="n">
        <v>0</v>
      </c>
      <c r="O299" s="8" t="n">
        <v>6</v>
      </c>
      <c r="P299" s="8" t="n">
        <v>6.42</v>
      </c>
      <c r="Q299" s="8" t="n">
        <v>6.42</v>
      </c>
      <c r="R299" s="8" t="n">
        <v>0</v>
      </c>
      <c r="S299" s="7" t="inlineStr">
        <is>
          <t>7.長谷川G</t>
        </is>
      </c>
      <c r="T299" s="7" t="n">
        <v>0</v>
      </c>
      <c r="U299" s="7" t="inlineStr">
        <is>
          <t>アクティブ</t>
        </is>
      </c>
      <c r="V299" s="7" t="n"/>
      <c r="W299" s="7" t="n"/>
    </row>
    <row r="300">
      <c r="A300" s="9" t="n">
        <v>576577</v>
      </c>
      <c r="B300" s="9" t="inlineStr">
        <is>
          <t>Nagano, Kenta</t>
        </is>
      </c>
      <c r="C300" s="10" t="n">
        <v>0</v>
      </c>
      <c r="D300" s="10" t="n">
        <v>0</v>
      </c>
      <c r="E300" s="10" t="n">
        <v>0</v>
      </c>
      <c r="F300" s="10" t="n">
        <v>0</v>
      </c>
      <c r="G300" s="10" t="n">
        <v>1</v>
      </c>
      <c r="H300" s="10" t="n">
        <v>0.14</v>
      </c>
      <c r="I300" s="10" t="n">
        <v>0.07000000000000001</v>
      </c>
      <c r="J300" s="10" t="n">
        <v>0.07000000000000001</v>
      </c>
      <c r="K300" s="10" t="n">
        <v>2</v>
      </c>
      <c r="L300" s="10" t="n">
        <v>2.34</v>
      </c>
      <c r="M300" s="10" t="n">
        <v>1.17</v>
      </c>
      <c r="N300" s="10" t="n">
        <v>1.17</v>
      </c>
      <c r="O300" s="10" t="n">
        <v>3</v>
      </c>
      <c r="P300" s="10" t="n">
        <v>2.49</v>
      </c>
      <c r="Q300" s="10" t="n">
        <v>1.24</v>
      </c>
      <c r="R300" s="10" t="n">
        <v>1.24</v>
      </c>
      <c r="S300" s="9" t="inlineStr">
        <is>
          <t>12.脇坂G</t>
        </is>
      </c>
      <c r="T300" s="9" t="inlineStr">
        <is>
          <t>ナガノG</t>
        </is>
      </c>
      <c r="U300" s="9" t="inlineStr">
        <is>
          <t>アクティブ</t>
        </is>
      </c>
      <c r="V300" s="9" t="n"/>
      <c r="W300" s="9" t="inlineStr">
        <is>
          <t>脇坂グループ・・・イントロデューサー分も、マネージャーフィー0.25%も脇坂さんに報告、Goo分は0.25%</t>
        </is>
      </c>
    </row>
    <row r="301">
      <c r="A301" s="7" t="n">
        <v>572319</v>
      </c>
      <c r="B301" s="7" t="inlineStr">
        <is>
          <t>Senoo, Daichi</t>
        </is>
      </c>
      <c r="C301" s="8" t="n">
        <v>1</v>
      </c>
      <c r="D301" s="8" t="n">
        <v>0.08</v>
      </c>
      <c r="E301" s="8" t="n">
        <v>0.08</v>
      </c>
      <c r="F301" s="8" t="n">
        <v>0</v>
      </c>
      <c r="G301" s="8" t="n">
        <v>2</v>
      </c>
      <c r="H301" s="8" t="n">
        <v>0.6899999999999999</v>
      </c>
      <c r="I301" s="8" t="n">
        <v>0.6899999999999999</v>
      </c>
      <c r="J301" s="8" t="n">
        <v>0</v>
      </c>
      <c r="K301" s="8" t="n">
        <v>3</v>
      </c>
      <c r="L301" s="8" t="n">
        <v>1.34</v>
      </c>
      <c r="M301" s="8" t="n">
        <v>1.34</v>
      </c>
      <c r="N301" s="8" t="n">
        <v>0</v>
      </c>
      <c r="O301" s="8" t="n">
        <v>6</v>
      </c>
      <c r="P301" s="8" t="n">
        <v>2.11</v>
      </c>
      <c r="Q301" s="8" t="n">
        <v>2.11</v>
      </c>
      <c r="R301" s="8" t="n">
        <v>0</v>
      </c>
      <c r="S301" s="7" t="inlineStr">
        <is>
          <t>1.BANK</t>
        </is>
      </c>
      <c r="T301" s="7" t="inlineStr">
        <is>
          <t>パクさん</t>
        </is>
      </c>
      <c r="U301" s="7" t="inlineStr">
        <is>
          <t>アクティブ</t>
        </is>
      </c>
      <c r="V301" s="7" t="n"/>
      <c r="W301" s="7" t="n"/>
    </row>
    <row r="302">
      <c r="A302" s="9" t="n">
        <v>574282</v>
      </c>
      <c r="B302" s="9" t="inlineStr">
        <is>
          <t>Matsushima, Masashi</t>
        </is>
      </c>
      <c r="C302" s="10" t="n">
        <v>1</v>
      </c>
      <c r="D302" s="10" t="n">
        <v>1.42</v>
      </c>
      <c r="E302" s="10" t="n">
        <v>0.71</v>
      </c>
      <c r="F302" s="10" t="n">
        <v>0.71</v>
      </c>
      <c r="G302" s="10" t="n">
        <v>0</v>
      </c>
      <c r="H302" s="10" t="n">
        <v>0</v>
      </c>
      <c r="I302" s="10" t="n">
        <v>0</v>
      </c>
      <c r="J302" s="10" t="n">
        <v>0</v>
      </c>
      <c r="K302" s="10" t="n">
        <v>0</v>
      </c>
      <c r="L302" s="10" t="n">
        <v>0</v>
      </c>
      <c r="M302" s="10" t="n">
        <v>0</v>
      </c>
      <c r="N302" s="10" t="n">
        <v>0</v>
      </c>
      <c r="O302" s="10" t="n">
        <v>1</v>
      </c>
      <c r="P302" s="10" t="n">
        <v>1.42</v>
      </c>
      <c r="Q302" s="10" t="n">
        <v>0.71</v>
      </c>
      <c r="R302" s="10" t="n">
        <v>0.71</v>
      </c>
      <c r="S302" s="9" t="inlineStr">
        <is>
          <t>4.March G</t>
        </is>
      </c>
      <c r="T302" s="9" t="n">
        <v>0</v>
      </c>
      <c r="U302" s="9" t="inlineStr">
        <is>
          <t>既得確保</t>
        </is>
      </c>
      <c r="V302" s="9" t="n"/>
      <c r="W302" s="9" t="inlineStr">
        <is>
          <t>March一樹・・・イントロデューサー分も、マネージャーフィー0.25%も一樹さんに報告、Goo分は0.25%</t>
        </is>
      </c>
    </row>
    <row r="303">
      <c r="A303" s="7" t="n">
        <v>572337</v>
      </c>
      <c r="B303" s="7" t="inlineStr">
        <is>
          <t>Tangoya, Shunichi</t>
        </is>
      </c>
      <c r="C303" s="8" t="n">
        <v>2</v>
      </c>
      <c r="D303" s="8" t="n">
        <v>0.51</v>
      </c>
      <c r="E303" s="8" t="n">
        <v>0.26</v>
      </c>
      <c r="F303" s="8" t="n">
        <v>0.26</v>
      </c>
      <c r="G303" s="8" t="n">
        <v>1</v>
      </c>
      <c r="H303" s="8" t="n">
        <v>0.39</v>
      </c>
      <c r="I303" s="8" t="n">
        <v>0.2</v>
      </c>
      <c r="J303" s="8" t="n">
        <v>0.2</v>
      </c>
      <c r="K303" s="8" t="n">
        <v>1</v>
      </c>
      <c r="L303" s="8" t="n">
        <v>0.21</v>
      </c>
      <c r="M303" s="8" t="n">
        <v>0.1</v>
      </c>
      <c r="N303" s="8" t="n">
        <v>0.1</v>
      </c>
      <c r="O303" s="8" t="n">
        <v>4</v>
      </c>
      <c r="P303" s="8" t="n">
        <v>1.11</v>
      </c>
      <c r="Q303" s="8" t="n">
        <v>0.5600000000000001</v>
      </c>
      <c r="R303" s="8" t="n">
        <v>0.5600000000000001</v>
      </c>
      <c r="S303" s="7" t="inlineStr">
        <is>
          <t>1.道下G</t>
        </is>
      </c>
      <c r="T303" s="7" t="inlineStr">
        <is>
          <t>小宮山G</t>
        </is>
      </c>
      <c r="U303" s="7" t="inlineStr">
        <is>
          <t>移籍</t>
        </is>
      </c>
      <c r="V303" s="7" t="n"/>
      <c r="W303" s="7" t="inlineStr">
        <is>
          <t>道下グループ・・・イントロデューサー分も、マネージャーフィー0.25%も道下さんに報告、Goo分は0.25%</t>
        </is>
      </c>
    </row>
    <row r="304">
      <c r="A304" s="9" t="n">
        <v>515262</v>
      </c>
      <c r="B304" s="9" t="inlineStr">
        <is>
          <t>Hara, Chieko</t>
        </is>
      </c>
      <c r="C304" s="10" t="n">
        <v>0</v>
      </c>
      <c r="D304" s="10" t="n">
        <v>0</v>
      </c>
      <c r="E304" s="10" t="n">
        <v>0</v>
      </c>
      <c r="F304" s="10" t="n">
        <v>0</v>
      </c>
      <c r="G304" s="10" t="n">
        <v>2</v>
      </c>
      <c r="H304" s="10" t="n">
        <v>0.21</v>
      </c>
      <c r="I304" s="10" t="n">
        <v>0.21</v>
      </c>
      <c r="J304" s="10" t="n">
        <v>0</v>
      </c>
      <c r="K304" s="10" t="n">
        <v>2</v>
      </c>
      <c r="L304" s="10" t="n">
        <v>0.78</v>
      </c>
      <c r="M304" s="10" t="n">
        <v>0.78</v>
      </c>
      <c r="N304" s="10" t="n">
        <v>0</v>
      </c>
      <c r="O304" s="10" t="n">
        <v>4</v>
      </c>
      <c r="P304" s="10" t="n">
        <v>0.99</v>
      </c>
      <c r="Q304" s="10" t="n">
        <v>0.99</v>
      </c>
      <c r="R304" s="10" t="n">
        <v>0</v>
      </c>
      <c r="S304" s="9" t="inlineStr">
        <is>
          <t>個別</t>
        </is>
      </c>
      <c r="T304" s="9" t="n">
        <v>0</v>
      </c>
      <c r="U304" s="9" t="inlineStr">
        <is>
          <t>既得確保</t>
        </is>
      </c>
      <c r="V304" s="9" t="n"/>
      <c r="W304" s="9" t="n"/>
    </row>
    <row r="305">
      <c r="A305" s="7" t="n">
        <v>571414</v>
      </c>
      <c r="B305" s="7" t="inlineStr">
        <is>
          <t>Shimozawa, Kazuma</t>
        </is>
      </c>
      <c r="C305" s="8" t="n">
        <v>1</v>
      </c>
      <c r="D305" s="8" t="n">
        <v>0.17</v>
      </c>
      <c r="E305" s="8" t="n">
        <v>0.17</v>
      </c>
      <c r="F305" s="8" t="n">
        <v>0</v>
      </c>
      <c r="G305" s="8" t="n">
        <v>1</v>
      </c>
      <c r="H305" s="8" t="n">
        <v>0.32</v>
      </c>
      <c r="I305" s="8" t="n">
        <v>0.32</v>
      </c>
      <c r="J305" s="8" t="n">
        <v>0</v>
      </c>
      <c r="K305" s="8" t="n">
        <v>1</v>
      </c>
      <c r="L305" s="8" t="n">
        <v>0.41</v>
      </c>
      <c r="M305" s="8" t="n">
        <v>0.41</v>
      </c>
      <c r="N305" s="8" t="n">
        <v>0</v>
      </c>
      <c r="O305" s="8" t="n">
        <v>3</v>
      </c>
      <c r="P305" s="8" t="n">
        <v>0.9</v>
      </c>
      <c r="Q305" s="8" t="n">
        <v>0.9</v>
      </c>
      <c r="R305" s="8" t="n">
        <v>0</v>
      </c>
      <c r="S305" s="7" t="inlineStr">
        <is>
          <t>個別</t>
        </is>
      </c>
      <c r="T305" s="7" t="inlineStr">
        <is>
          <t>もりし</t>
        </is>
      </c>
      <c r="U305" s="7" t="inlineStr">
        <is>
          <t>アクティブ</t>
        </is>
      </c>
      <c r="V305" s="7" t="n"/>
      <c r="W305" s="7" t="n"/>
    </row>
    <row r="306">
      <c r="A306" s="9" t="n">
        <v>576191</v>
      </c>
      <c r="B306" s="9" t="inlineStr">
        <is>
          <t>Hiruma, Ryotaro</t>
        </is>
      </c>
      <c r="C306" s="10" t="n">
        <v>0</v>
      </c>
      <c r="D306" s="10" t="n">
        <v>0</v>
      </c>
      <c r="E306" s="10" t="n">
        <v>0</v>
      </c>
      <c r="F306" s="10" t="n">
        <v>0</v>
      </c>
      <c r="G306" s="10" t="n">
        <v>1</v>
      </c>
      <c r="H306" s="10" t="n">
        <v>0.06</v>
      </c>
      <c r="I306" s="10" t="n">
        <v>0.06</v>
      </c>
      <c r="J306" s="10" t="n">
        <v>0</v>
      </c>
      <c r="K306" s="10" t="n">
        <v>1</v>
      </c>
      <c r="L306" s="10" t="n">
        <v>0.74</v>
      </c>
      <c r="M306" s="10" t="n">
        <v>0.74</v>
      </c>
      <c r="N306" s="10" t="n">
        <v>0</v>
      </c>
      <c r="O306" s="10" t="n">
        <v>2</v>
      </c>
      <c r="P306" s="10" t="n">
        <v>0.8</v>
      </c>
      <c r="Q306" s="10" t="n">
        <v>0.8</v>
      </c>
      <c r="R306" s="10" t="n">
        <v>0</v>
      </c>
      <c r="S306" s="9" t="n">
        <v>0</v>
      </c>
      <c r="T306" s="9" t="n">
        <v>0</v>
      </c>
      <c r="U306" s="9" t="inlineStr">
        <is>
          <t>解除済</t>
        </is>
      </c>
      <c r="V306" s="9" t="n"/>
      <c r="W306" s="9" t="n"/>
    </row>
    <row r="307">
      <c r="A307" s="7" t="n">
        <v>578307</v>
      </c>
      <c r="B307" s="7" t="inlineStr">
        <is>
          <t>Matsumoto, Kentaro</t>
        </is>
      </c>
      <c r="C307" s="8" t="n">
        <v>0</v>
      </c>
      <c r="D307" s="8" t="n">
        <v>0</v>
      </c>
      <c r="E307" s="8" t="n">
        <v>0</v>
      </c>
      <c r="F307" s="8" t="n">
        <v>0</v>
      </c>
      <c r="G307" s="8" t="n">
        <v>0</v>
      </c>
      <c r="H307" s="8" t="n">
        <v>0</v>
      </c>
      <c r="I307" s="8" t="n">
        <v>0</v>
      </c>
      <c r="J307" s="8" t="n">
        <v>0</v>
      </c>
      <c r="K307" s="8" t="n">
        <v>1</v>
      </c>
      <c r="L307" s="8" t="n">
        <v>0.72</v>
      </c>
      <c r="M307" s="8" t="n">
        <v>0.36</v>
      </c>
      <c r="N307" s="8" t="n">
        <v>0.36</v>
      </c>
      <c r="O307" s="8" t="n">
        <v>1</v>
      </c>
      <c r="P307" s="8" t="n">
        <v>0.72</v>
      </c>
      <c r="Q307" s="8" t="n">
        <v>0.36</v>
      </c>
      <c r="R307" s="8" t="n">
        <v>0.36</v>
      </c>
      <c r="S307" s="7" t="inlineStr">
        <is>
          <t>1.道下G</t>
        </is>
      </c>
      <c r="T307" s="7" t="inlineStr">
        <is>
          <t>小宮山G</t>
        </is>
      </c>
      <c r="U307" s="7" t="inlineStr">
        <is>
          <t>移籍</t>
        </is>
      </c>
      <c r="V307" s="7" t="n"/>
      <c r="W307" s="7" t="inlineStr">
        <is>
          <t>道下グループ・・・イントロデューサー分も、マネージャーフィー0.25%も道下さんに報告、Goo分は0.25%</t>
        </is>
      </c>
    </row>
    <row r="308">
      <c r="A308" s="9" t="n">
        <v>577608</v>
      </c>
      <c r="B308" s="9" t="inlineStr">
        <is>
          <t>Niyama, Masami</t>
        </is>
      </c>
      <c r="C308" s="10" t="n">
        <v>1</v>
      </c>
      <c r="D308" s="10" t="n">
        <v>0.03</v>
      </c>
      <c r="E308" s="10" t="n">
        <v>0.01</v>
      </c>
      <c r="F308" s="10" t="n">
        <v>0.01</v>
      </c>
      <c r="G308" s="10" t="n">
        <v>1</v>
      </c>
      <c r="H308" s="10" t="n">
        <v>0.18</v>
      </c>
      <c r="I308" s="10" t="n">
        <v>0.09</v>
      </c>
      <c r="J308" s="10" t="n">
        <v>0.09</v>
      </c>
      <c r="K308" s="10" t="n">
        <v>2</v>
      </c>
      <c r="L308" s="10" t="n">
        <v>0.47</v>
      </c>
      <c r="M308" s="10" t="n">
        <v>0.24</v>
      </c>
      <c r="N308" s="10" t="n">
        <v>0.24</v>
      </c>
      <c r="O308" s="10" t="n">
        <v>4</v>
      </c>
      <c r="P308" s="10" t="n">
        <v>0.68</v>
      </c>
      <c r="Q308" s="10" t="n">
        <v>0.34</v>
      </c>
      <c r="R308" s="10" t="n">
        <v>0.34</v>
      </c>
      <c r="S308" s="9" t="inlineStr">
        <is>
          <t>12.脇坂G</t>
        </is>
      </c>
      <c r="T308" s="9" t="inlineStr">
        <is>
          <t>Nu-Design.LabG</t>
        </is>
      </c>
      <c r="U308" s="9" t="inlineStr">
        <is>
          <t>アクティブ</t>
        </is>
      </c>
      <c r="V308" s="9" t="n"/>
      <c r="W308" s="9" t="inlineStr">
        <is>
          <t>脇坂グループ・・・イントロデューサー分も、マネージャーフィー0.25%も脇坂さんに報告、Goo分は0.25%</t>
        </is>
      </c>
    </row>
    <row r="309">
      <c r="A309" s="7" t="n">
        <v>576301</v>
      </c>
      <c r="B309" s="7" t="inlineStr">
        <is>
          <t>Murata, Masaki</t>
        </is>
      </c>
      <c r="C309" s="8" t="n">
        <v>0</v>
      </c>
      <c r="D309" s="8" t="n">
        <v>0</v>
      </c>
      <c r="E309" s="8" t="n">
        <v>0</v>
      </c>
      <c r="F309" s="8" t="n">
        <v>0</v>
      </c>
      <c r="G309" s="8" t="n">
        <v>0</v>
      </c>
      <c r="H309" s="8" t="n">
        <v>0</v>
      </c>
      <c r="I309" s="8" t="n">
        <v>0</v>
      </c>
      <c r="J309" s="8" t="n">
        <v>0</v>
      </c>
      <c r="K309" s="8" t="n">
        <v>1</v>
      </c>
      <c r="L309" s="8" t="n">
        <v>0.06</v>
      </c>
      <c r="M309" s="8" t="n">
        <v>0.06</v>
      </c>
      <c r="N309" s="8" t="n">
        <v>0</v>
      </c>
      <c r="O309" s="8" t="n">
        <v>1</v>
      </c>
      <c r="P309" s="8" t="n">
        <v>0.06</v>
      </c>
      <c r="Q309" s="8" t="n">
        <v>0.06</v>
      </c>
      <c r="R309" s="8" t="n">
        <v>0</v>
      </c>
      <c r="S309" s="7" t="inlineStr">
        <is>
          <t>1.BANK</t>
        </is>
      </c>
      <c r="T309" s="7" t="inlineStr">
        <is>
          <t>パクさん</t>
        </is>
      </c>
      <c r="U309" s="7" t="inlineStr">
        <is>
          <t>アクティブ</t>
        </is>
      </c>
      <c r="V309" s="7" t="n"/>
      <c r="W309" s="7" t="n"/>
    </row>
    <row r="310">
      <c r="A310" s="9" t="n">
        <v>569201</v>
      </c>
      <c r="B310" s="9" t="inlineStr">
        <is>
          <t>Huddletwo Co Ltd</t>
        </is>
      </c>
      <c r="C310" s="10" t="n">
        <v>45</v>
      </c>
      <c r="D310" s="10" t="n">
        <v>0</v>
      </c>
      <c r="E310" s="10" t="n">
        <v>0</v>
      </c>
      <c r="F310" s="10" t="n">
        <v>0</v>
      </c>
      <c r="G310" s="10" t="n">
        <v>40</v>
      </c>
      <c r="H310" s="10" t="n">
        <v>0</v>
      </c>
      <c r="I310" s="10" t="n">
        <v>0</v>
      </c>
      <c r="J310" s="10" t="n">
        <v>0</v>
      </c>
      <c r="K310" s="10" t="n">
        <v>40</v>
      </c>
      <c r="L310" s="10" t="n">
        <v>0</v>
      </c>
      <c r="M310" s="10" t="n">
        <v>0</v>
      </c>
      <c r="N310" s="10" t="n">
        <v>0</v>
      </c>
      <c r="O310" s="10" t="n">
        <v>125</v>
      </c>
      <c r="P310" s="10" t="n">
        <v>0</v>
      </c>
      <c r="Q310" s="10" t="n">
        <v>0</v>
      </c>
      <c r="R310" s="10" t="n">
        <v>0</v>
      </c>
      <c r="S310" s="9" t="inlineStr">
        <is>
          <t>10.竹田G</t>
        </is>
      </c>
      <c r="T310" s="9" t="n">
        <v>0</v>
      </c>
      <c r="U310" s="9" t="inlineStr">
        <is>
          <t>既得確保</t>
        </is>
      </c>
      <c r="V310" s="9" t="n"/>
      <c r="W310" s="9" t="inlineStr">
        <is>
          <t>イントロデューサー分0.75%、Goo分は0.25%</t>
        </is>
      </c>
    </row>
    <row r="311">
      <c r="A311" s="7" t="n">
        <v>563771</v>
      </c>
      <c r="B311" s="7" t="inlineStr">
        <is>
          <t>Sakai, Kazuyo</t>
        </is>
      </c>
      <c r="C311" s="8" t="n">
        <v>62</v>
      </c>
      <c r="D311" s="8" t="n">
        <v>0</v>
      </c>
      <c r="E311" s="8" t="n">
        <v>0</v>
      </c>
      <c r="F311" s="8" t="n">
        <v>0</v>
      </c>
      <c r="G311" s="8" t="n">
        <v>61</v>
      </c>
      <c r="H311" s="8" t="n">
        <v>0</v>
      </c>
      <c r="I311" s="8" t="n">
        <v>0</v>
      </c>
      <c r="J311" s="8" t="n">
        <v>0</v>
      </c>
      <c r="K311" s="8" t="n">
        <v>58</v>
      </c>
      <c r="L311" s="8" t="n">
        <v>0</v>
      </c>
      <c r="M311" s="8" t="n">
        <v>0</v>
      </c>
      <c r="N311" s="8" t="n">
        <v>0</v>
      </c>
      <c r="O311" s="8" t="n">
        <v>181</v>
      </c>
      <c r="P311" s="8" t="n">
        <v>0</v>
      </c>
      <c r="Q311" s="8" t="n">
        <v>0</v>
      </c>
      <c r="R311" s="8" t="n">
        <v>0</v>
      </c>
      <c r="S311" s="7" t="inlineStr">
        <is>
          <t>1.道下G</t>
        </is>
      </c>
      <c r="T311" s="7" t="inlineStr">
        <is>
          <t>佐藤Ｇ</t>
        </is>
      </c>
      <c r="U311" s="7" t="inlineStr">
        <is>
          <t>移籍</t>
        </is>
      </c>
      <c r="V311" s="7" t="n"/>
      <c r="W311" s="7" t="inlineStr">
        <is>
          <t>道下・酒井傘下・・・2023年4月12日までの成立プランはイントロデューサーとGooで折半、以降のものは道下グループと同様の扱い</t>
        </is>
      </c>
    </row>
    <row r="312">
      <c r="A312" s="9" t="n">
        <v>567100</v>
      </c>
      <c r="B312" s="9" t="inlineStr">
        <is>
          <t>Ohi, Yuki</t>
        </is>
      </c>
      <c r="C312" s="10" t="n">
        <v>4</v>
      </c>
      <c r="D312" s="10" t="n">
        <v>0</v>
      </c>
      <c r="E312" s="10" t="n">
        <v>0</v>
      </c>
      <c r="F312" s="10" t="n">
        <v>0</v>
      </c>
      <c r="G312" s="10" t="n">
        <v>4</v>
      </c>
      <c r="H312" s="10" t="n">
        <v>0</v>
      </c>
      <c r="I312" s="10" t="n">
        <v>0</v>
      </c>
      <c r="J312" s="10" t="n">
        <v>0</v>
      </c>
      <c r="K312" s="10" t="n">
        <v>4</v>
      </c>
      <c r="L312" s="10" t="n">
        <v>0</v>
      </c>
      <c r="M312" s="10" t="n">
        <v>0</v>
      </c>
      <c r="N312" s="10" t="n">
        <v>0</v>
      </c>
      <c r="O312" s="10" t="n">
        <v>12</v>
      </c>
      <c r="P312" s="10" t="n">
        <v>0</v>
      </c>
      <c r="Q312" s="10" t="n">
        <v>0</v>
      </c>
      <c r="R312" s="10" t="n">
        <v>0</v>
      </c>
      <c r="S312" s="9" t="inlineStr">
        <is>
          <t>1.道下G</t>
        </is>
      </c>
      <c r="T312" s="9" t="inlineStr">
        <is>
          <t>佐藤Ｇ</t>
        </is>
      </c>
      <c r="U312" s="9" t="inlineStr">
        <is>
          <t>移籍</t>
        </is>
      </c>
      <c r="V312" s="9" t="n"/>
      <c r="W312" s="9" t="inlineStr">
        <is>
          <t>道下・酒井傘下・・・2023年4月12日までの成立プランはイントロデューサーとGooで折半、以降のものは道下グループと同様の扱い</t>
        </is>
      </c>
    </row>
    <row r="313">
      <c r="A313" s="7" t="n">
        <v>570826</v>
      </c>
      <c r="B313" s="7" t="inlineStr">
        <is>
          <t>Kimura, Masanori</t>
        </is>
      </c>
      <c r="C313" s="8" t="n">
        <v>7</v>
      </c>
      <c r="D313" s="8" t="n">
        <v>0</v>
      </c>
      <c r="E313" s="8" t="n">
        <v>0</v>
      </c>
      <c r="F313" s="8" t="n">
        <v>0</v>
      </c>
      <c r="G313" s="8" t="n">
        <v>7</v>
      </c>
      <c r="H313" s="8" t="n">
        <v>0</v>
      </c>
      <c r="I313" s="8" t="n">
        <v>0</v>
      </c>
      <c r="J313" s="8" t="n">
        <v>0</v>
      </c>
      <c r="K313" s="8" t="n">
        <v>7</v>
      </c>
      <c r="L313" s="8" t="n">
        <v>0</v>
      </c>
      <c r="M313" s="8" t="n">
        <v>0</v>
      </c>
      <c r="N313" s="8" t="n">
        <v>0</v>
      </c>
      <c r="O313" s="8" t="n">
        <v>21</v>
      </c>
      <c r="P313" s="8" t="n">
        <v>0</v>
      </c>
      <c r="Q313" s="8" t="n">
        <v>0</v>
      </c>
      <c r="R313" s="8" t="n">
        <v>0</v>
      </c>
      <c r="S313" s="7" t="inlineStr">
        <is>
          <t>10.竹田G</t>
        </is>
      </c>
      <c r="T313" s="7" t="n">
        <v>0</v>
      </c>
      <c r="U313" s="7" t="inlineStr">
        <is>
          <t>解除済</t>
        </is>
      </c>
      <c r="V313" s="7" t="n"/>
      <c r="W313" s="7" t="inlineStr">
        <is>
          <t>イントロデューサー分0.75%、Goo分は0.25%</t>
        </is>
      </c>
    </row>
    <row r="314">
      <c r="A314" s="11" t="inlineStr">
        <is>
          <t>合計</t>
        </is>
      </c>
      <c r="B314" s="11" t="inlineStr">
        <is>
          <t>311イントロデューサー</t>
        </is>
      </c>
      <c r="C314" s="12" t="n">
        <v>5050</v>
      </c>
      <c r="D314" s="12" t="n">
        <v>115612.36</v>
      </c>
      <c r="E314" s="12" t="n">
        <v>74682.73</v>
      </c>
      <c r="F314" s="12" t="n">
        <v>16704.39</v>
      </c>
      <c r="G314" s="12" t="n">
        <v>5093</v>
      </c>
      <c r="H314" s="12" t="n">
        <v>121420.65</v>
      </c>
      <c r="I314" s="12" t="n">
        <v>77557.31</v>
      </c>
      <c r="J314" s="12" t="n">
        <v>17615.24</v>
      </c>
      <c r="K314" s="12" t="n">
        <v>5107</v>
      </c>
      <c r="L314" s="12" t="n">
        <v>115328.96</v>
      </c>
      <c r="M314" s="12" t="n">
        <v>74048.42999999999</v>
      </c>
      <c r="N314" s="12" t="n">
        <v>17261.14</v>
      </c>
      <c r="O314" s="12" t="n">
        <v>15250</v>
      </c>
      <c r="P314" s="12" t="n">
        <v>352362.03</v>
      </c>
      <c r="Q314" s="12" t="n">
        <v>226288.43</v>
      </c>
      <c r="R314" s="12" t="n">
        <v>51580.83</v>
      </c>
      <c r="S314" s="11" t="n"/>
      <c r="T314" s="11" t="n"/>
      <c r="U314" s="11" t="n"/>
      <c r="V314" s="11" t="n"/>
      <c r="W314" s="11" t="n"/>
    </row>
  </sheetData>
  <mergeCells count="6">
    <mergeCell ref="S1:W1"/>
    <mergeCell ref="C1:F1"/>
    <mergeCell ref="G1:J1"/>
    <mergeCell ref="A1:B1"/>
    <mergeCell ref="K1:N1"/>
    <mergeCell ref="O1:R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D1:I4"/>
  <sheetViews>
    <sheetView tabSelected="1" workbookViewId="0">
      <selection activeCell="I8" sqref="I8"/>
    </sheetView>
  </sheetViews>
  <sheetFormatPr baseColWidth="8" defaultRowHeight="13.3"/>
  <cols>
    <col width="16.84375" bestFit="1" customWidth="1" style="20" min="4" max="4"/>
    <col width="15.84375" bestFit="1" customWidth="1" style="20" min="5" max="5"/>
    <col width="15.4609375" bestFit="1" customWidth="1" style="20" min="6" max="6"/>
    <col width="15.61328125" bestFit="1" customWidth="1" style="20" min="7" max="7"/>
    <col width="14.921875" bestFit="1" customWidth="1" style="20" min="8" max="8"/>
    <col width="9.61328125" bestFit="1" customWidth="1" style="20" min="9" max="9"/>
  </cols>
  <sheetData>
    <row r="1">
      <c r="D1" s="15" t="inlineStr">
        <is>
          <t>アクティビティー日</t>
        </is>
      </c>
      <c r="E1" s="15" t="inlineStr">
        <is>
          <t>ITA→Goo振込分</t>
        </is>
      </c>
      <c r="F1" s="15" t="inlineStr">
        <is>
          <t>Excel計算した分</t>
        </is>
      </c>
      <c r="G1" s="15" t="inlineStr">
        <is>
          <t>差額（検証必要）</t>
        </is>
      </c>
      <c r="H1" s="15" t="inlineStr">
        <is>
          <t>酒井G（未計算）</t>
        </is>
      </c>
      <c r="I1" s="15" t="inlineStr">
        <is>
          <t>損益</t>
        </is>
      </c>
    </row>
    <row r="2">
      <c r="D2" s="16" t="n">
        <v>45936</v>
      </c>
      <c r="E2" s="14" t="n">
        <v>206722.22</v>
      </c>
      <c r="F2" s="13">
        <f>'3期サマリー'!D314+'3期サマリー'!E314+'3期サマリー'!F314</f>
        <v/>
      </c>
      <c r="G2" s="26">
        <f>E2-F2</f>
        <v/>
      </c>
      <c r="H2" s="18" t="n">
        <v>3397.43</v>
      </c>
      <c r="I2" s="26">
        <f>G2-H2</f>
        <v/>
      </c>
    </row>
    <row r="3">
      <c r="D3" s="16" t="n">
        <v>46029</v>
      </c>
      <c r="E3" s="14" t="n">
        <v>215501.73</v>
      </c>
      <c r="F3" s="13">
        <f>'3期サマリー'!H314+'3期サマリー'!I314+'3期サマリー'!J314</f>
        <v/>
      </c>
      <c r="G3" s="26">
        <f>E3-F3</f>
        <v/>
      </c>
      <c r="H3" s="18" t="n">
        <v>3469.98</v>
      </c>
      <c r="I3" s="26">
        <f>G3-H3</f>
        <v/>
      </c>
    </row>
    <row r="4">
      <c r="D4" s="16" t="n">
        <v>46117</v>
      </c>
      <c r="E4" s="14" t="n">
        <v>205105.4</v>
      </c>
      <c r="F4" s="13">
        <f>'3期サマリー'!L314+'3期サマリー'!M314+'3期サマリー'!N314</f>
        <v/>
      </c>
      <c r="G4" s="26">
        <f>E4-F4</f>
        <v/>
      </c>
      <c r="H4" s="18" t="n">
        <v>2471.99</v>
      </c>
      <c r="I4" s="26">
        <f>G4-H4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2026-06-02T05:25:19Z</dcterms:created>
  <dcterms:modified xsi:type="dcterms:W3CDTF">2026-06-02T07:47:33Z</dcterms:modified>
  <cp:lastModifiedBy>rina Shima</cp:lastModifiedBy>
</cp:coreProperties>
</file>