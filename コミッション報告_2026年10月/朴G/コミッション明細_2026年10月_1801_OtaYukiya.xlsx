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<sst xmlns="http://schemas.openxmlformats.org/spreadsheetml/2006/main" count="101" uniqueCount="56">
  <si>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</si>
  <si>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</si>
  <si>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</si>
  <si>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Ota, Yukiya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</si>
  <si>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</si>
  <si>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</si>
  <si>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</si>
  <si>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</si>
  <si>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</si>
  <si>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</si>
  <si>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</si>
  <si>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</si>
  <si>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</si>
  <si>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</si>
  <si>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</si>
  <si>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</si>
  <si>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</si>
  <si>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</si>
  <si>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</si>
  <si>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</si>
  <si>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</si>
  <si>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</si>
  <si>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T20W044170</t>
  </si>
  <si>
    <t xml:space="preserve">Hikari Sakurai</t>
  </si>
  <si>
    <t xml:space="preserve">SPX20-X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</si>
  <si>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</si>
  <si>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</si>
  <si>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</si>
  <si>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T20W045002</t>
  </si>
  <si>
    <t xml:space="preserve">Akitoshi Kanemura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</si>
  <si>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</si>
  <si>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T15W082009</t>
  </si>
  <si>
    <t xml:space="preserve">Reiko Mizutani</t>
  </si>
  <si>
    <t xml:space="preserve">SPX15-X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</si>
  <si>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</si>
  <si>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T15W082723</t>
  </si>
  <si>
    <t xml:space="preserve">Yuichi Sugiyama</t>
  </si>
  <si>
    <t xml:space="preserve">T20W045003</t>
  </si>
  <si>
    <t xml:space="preserve">Ayano Fukuda</t>
  </si>
  <si>
    <t xml:space="preserve">T25W058246</t>
  </si>
  <si>
    <t xml:space="preserve">Noe Ishigaki</t>
  </si>
  <si>
    <t xml:space="preserve">EVO25</t>
  </si>
  <si>
    <t xml:space="preserve">T25W058278</t>
  </si>
  <si>
    <t xml:space="preserve">Saki Goto</t>
  </si>
  <si>
    <t xml:space="preserve">T20W044682</t>
  </si>
  <si>
    <t xml:space="preserve">Takahiro Shiotani</t>
  </si>
  <si>
    <t xml:space="preserve">T15W081148</t>
  </si>
  <si>
    <t xml:space="preserve">Aya Imaoka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</si>
  <si>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</si>
  <si>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T15W082209</t>
  </si>
  <si>
    <t xml:space="preserve">Masako Sasaki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</si>
  <si>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</si>
  <si>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T25W058461</t>
  </si>
  <si>
    <t xml:space="preserve">Mika Kamamoto</t>
  </si>
  <si>
    <t xml:space="preserve">T20W045083</t>
  </si>
  <si>
    <t xml:space="preserve">Jihae Yang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</si>
</sst>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1801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SUM(L11:L23)</f>
        <v>16806</v>
      </c>
      <c r="E5" s="6" t="s">
        <v>5</v>
      </c>
      <c r="F5" s="7" t="n">
        <f aca="false">COUNTA(B11:B23)</f>
        <v>13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16801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300</v>
      </c>
      <c r="H11" s="15" t="n">
        <v>0.35</v>
      </c>
      <c r="I11" s="8" t="n">
        <v>105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265</v>
      </c>
      <c r="H12" s="15" t="n">
        <v>0.35</v>
      </c>
      <c r="I12" s="8" t="n">
        <v>92.75</v>
      </c>
      <c r="J12" s="13" t="s">
        <v>26</v>
      </c>
      <c r="K12" s="3" t="n">
        <v>12</v>
      </c>
      <c r="L12" s="8" t="n">
        <f aca="false">I12*K12</f>
        <v>1113</v>
      </c>
      <c r="M12" s="17" t="s">
        <v>30</v>
      </c>
    </row>
    <row r="13" customFormat="false" ht="15" hidden="false" customHeight="false" outlineLevel="0" collapsed="false">
      <c r="A13" s="3" t="n">
        <v>3</v>
      </c>
      <c r="B13" s="3" t="s">
        <v>31</v>
      </c>
      <c r="C13" s="3" t="s">
        <v>32</v>
      </c>
      <c r="D13" s="3" t="s">
        <v>33</v>
      </c>
      <c r="E13" s="13" t="s">
        <v>25</v>
      </c>
      <c r="F13" s="3" t="n">
        <v>1</v>
      </c>
      <c r="G13" s="14" t="n">
        <v>450</v>
      </c>
      <c r="H13" s="15" t="n">
        <v>0.3</v>
      </c>
      <c r="I13" s="8" t="n">
        <v>135</v>
      </c>
      <c r="J13" s="13" t="s">
        <v>26</v>
      </c>
      <c r="K13" s="3" t="n">
        <v>0</v>
      </c>
      <c r="L13" s="8" t="n">
        <f aca="false">I13*K13</f>
        <v>0</v>
      </c>
      <c r="M13" s="16" t="s">
        <v>34</v>
      </c>
    </row>
    <row r="14" customFormat="false" ht="15" hidden="false" customHeight="false" outlineLevel="0" collapsed="false">
      <c r="A14" s="3" t="n">
        <v>4</v>
      </c>
      <c r="B14" s="3" t="s">
        <v>35</v>
      </c>
      <c r="C14" s="3" t="s">
        <v>36</v>
      </c>
      <c r="D14" s="3" t="s">
        <v>33</v>
      </c>
      <c r="E14" s="13" t="s">
        <v>25</v>
      </c>
      <c r="F14" s="3" t="n">
        <v>1</v>
      </c>
      <c r="G14" s="14" t="n">
        <v>900</v>
      </c>
      <c r="H14" s="15" t="n">
        <v>0.3</v>
      </c>
      <c r="I14" s="8" t="n">
        <v>270</v>
      </c>
      <c r="J14" s="13" t="s">
        <v>26</v>
      </c>
      <c r="K14" s="3" t="n">
        <v>12</v>
      </c>
      <c r="L14" s="8" t="n">
        <f aca="false">I14*K14</f>
        <v>3240</v>
      </c>
      <c r="M14" s="17" t="s">
        <v>30</v>
      </c>
    </row>
    <row r="15" customFormat="false" ht="15" hidden="false" customHeight="false" outlineLevel="0" collapsed="false">
      <c r="A15" s="3" t="n">
        <v>5</v>
      </c>
      <c r="B15" s="3" t="s">
        <v>37</v>
      </c>
      <c r="C15" s="3" t="s">
        <v>38</v>
      </c>
      <c r="D15" s="3" t="s">
        <v>24</v>
      </c>
      <c r="E15" s="13" t="s">
        <v>25</v>
      </c>
      <c r="F15" s="3" t="n">
        <v>1</v>
      </c>
      <c r="G15" s="14" t="n">
        <v>265</v>
      </c>
      <c r="H15" s="15" t="n">
        <v>0.35</v>
      </c>
      <c r="I15" s="8" t="n">
        <v>92.75</v>
      </c>
      <c r="J15" s="13" t="s">
        <v>26</v>
      </c>
      <c r="K15" s="3" t="n">
        <v>12</v>
      </c>
      <c r="L15" s="8" t="n">
        <f aca="false">I15*K15</f>
        <v>1113</v>
      </c>
      <c r="M15" s="17" t="s">
        <v>30</v>
      </c>
    </row>
    <row r="16" customFormat="false" ht="15" hidden="false" customHeight="false" outlineLevel="0" collapsed="false">
      <c r="A16" s="3" t="n">
        <v>6</v>
      </c>
      <c r="B16" s="3" t="s">
        <v>39</v>
      </c>
      <c r="C16" s="3" t="s">
        <v>40</v>
      </c>
      <c r="D16" s="3" t="s">
        <v>41</v>
      </c>
      <c r="E16" s="13" t="s">
        <v>25</v>
      </c>
      <c r="F16" s="3" t="n">
        <v>1</v>
      </c>
      <c r="G16" s="14" t="n">
        <v>100</v>
      </c>
      <c r="H16" s="15" t="n">
        <v>0.4</v>
      </c>
      <c r="I16" s="8" t="n">
        <v>40</v>
      </c>
      <c r="J16" s="13" t="s">
        <v>26</v>
      </c>
      <c r="K16" s="3" t="n">
        <v>0</v>
      </c>
      <c r="L16" s="8" t="n">
        <f aca="false">I16*K16</f>
        <v>0</v>
      </c>
      <c r="M16" s="16" t="s">
        <v>27</v>
      </c>
    </row>
    <row r="17" customFormat="false" ht="15" hidden="false" customHeight="false" outlineLevel="0" collapsed="false">
      <c r="A17" s="3" t="n">
        <v>7</v>
      </c>
      <c r="B17" s="3" t="s">
        <v>42</v>
      </c>
      <c r="C17" s="3" t="s">
        <v>43</v>
      </c>
      <c r="D17" s="3" t="s">
        <v>41</v>
      </c>
      <c r="E17" s="13" t="s">
        <v>25</v>
      </c>
      <c r="F17" s="3" t="n">
        <v>1</v>
      </c>
      <c r="G17" s="14" t="n">
        <v>600</v>
      </c>
      <c r="H17" s="15" t="n">
        <v>0.4</v>
      </c>
      <c r="I17" s="8" t="n">
        <v>240</v>
      </c>
      <c r="J17" s="13" t="s">
        <v>26</v>
      </c>
      <c r="K17" s="3" t="n">
        <v>0</v>
      </c>
      <c r="L17" s="8" t="n">
        <f aca="false">I17*K17</f>
        <v>0</v>
      </c>
      <c r="M17" s="16" t="s">
        <v>27</v>
      </c>
    </row>
    <row r="18" customFormat="false" ht="15" hidden="false" customHeight="false" outlineLevel="0" collapsed="false">
      <c r="A18" s="3" t="n">
        <v>8</v>
      </c>
      <c r="B18" s="3" t="s">
        <v>44</v>
      </c>
      <c r="C18" s="3" t="s">
        <v>45</v>
      </c>
      <c r="D18" s="3" t="s">
        <v>24</v>
      </c>
      <c r="E18" s="13" t="s">
        <v>25</v>
      </c>
      <c r="F18" s="3" t="n">
        <v>1</v>
      </c>
      <c r="G18" s="14" t="n">
        <v>450</v>
      </c>
      <c r="H18" s="15" t="n">
        <v>0.35</v>
      </c>
      <c r="I18" s="8" t="n">
        <v>157.5</v>
      </c>
      <c r="J18" s="13" t="s">
        <v>26</v>
      </c>
      <c r="K18" s="3" t="n">
        <v>0</v>
      </c>
      <c r="L18" s="8" t="n">
        <f aca="false">I18*K18</f>
        <v>0</v>
      </c>
      <c r="M18" s="16" t="s">
        <v>34</v>
      </c>
    </row>
    <row r="19" customFormat="false" ht="15" hidden="false" customHeight="false" outlineLevel="0" collapsed="false">
      <c r="A19" s="3" t="n">
        <v>9</v>
      </c>
      <c r="B19" s="3" t="s">
        <v>46</v>
      </c>
      <c r="C19" s="3" t="s">
        <v>47</v>
      </c>
      <c r="D19" s="3" t="s">
        <v>33</v>
      </c>
      <c r="E19" s="13" t="s">
        <v>25</v>
      </c>
      <c r="F19" s="3" t="n">
        <v>1</v>
      </c>
      <c r="G19" s="14" t="n">
        <v>300</v>
      </c>
      <c r="H19" s="15" t="n">
        <v>0.3</v>
      </c>
      <c r="I19" s="8" t="n">
        <v>90</v>
      </c>
      <c r="J19" s="13" t="s">
        <v>26</v>
      </c>
      <c r="K19" s="3" t="n">
        <v>0</v>
      </c>
      <c r="L19" s="8" t="n">
        <f aca="false">I19*K19</f>
        <v>0</v>
      </c>
      <c r="M19" s="16" t="s">
        <v>48</v>
      </c>
    </row>
    <row r="20" customFormat="false" ht="15" hidden="false" customHeight="false" outlineLevel="0" collapsed="false">
      <c r="A20" s="3" t="n">
        <v>10</v>
      </c>
      <c r="B20" s="3" t="s">
        <v>49</v>
      </c>
      <c r="C20" s="3" t="s">
        <v>50</v>
      </c>
      <c r="D20" s="3" t="s">
        <v>33</v>
      </c>
      <c r="E20" s="13" t="s">
        <v>25</v>
      </c>
      <c r="F20" s="3" t="n">
        <v>1</v>
      </c>
      <c r="G20" s="14" t="n">
        <v>400</v>
      </c>
      <c r="H20" s="15" t="n">
        <v>0.3</v>
      </c>
      <c r="I20" s="8" t="n">
        <v>120</v>
      </c>
      <c r="J20" s="13" t="s">
        <v>26</v>
      </c>
      <c r="K20" s="3" t="n">
        <v>0</v>
      </c>
      <c r="L20" s="8" t="n">
        <f aca="false">I20*K20</f>
        <v>0</v>
      </c>
      <c r="M20" s="16" t="s">
        <v>34</v>
      </c>
    </row>
    <row r="21" customFormat="false" ht="15" hidden="false" customHeight="false" outlineLevel="0" collapsed="false">
      <c r="A21" s="3" t="n">
        <v>11</v>
      </c>
      <c r="B21" s="3" t="s">
        <v>35</v>
      </c>
      <c r="C21" s="3" t="s">
        <v>36</v>
      </c>
      <c r="D21" s="3" t="s">
        <v>41</v>
      </c>
      <c r="E21" s="13" t="s">
        <v>51</v>
      </c>
      <c r="F21" s="3" t="n">
        <v>1</v>
      </c>
      <c r="G21" s="14" t="n">
        <v>2100</v>
      </c>
      <c r="H21" s="15" t="n">
        <v>0.4</v>
      </c>
      <c r="I21" s="8" t="n">
        <v>840</v>
      </c>
      <c r="J21" s="13" t="s">
        <v>26</v>
      </c>
      <c r="K21" s="3" t="n">
        <v>12</v>
      </c>
      <c r="L21" s="8" t="n">
        <f aca="false">I21*K21</f>
        <v>10080</v>
      </c>
      <c r="M21" s="17" t="s">
        <v>30</v>
      </c>
    </row>
    <row r="22" customFormat="false" ht="15" hidden="false" customHeight="false" outlineLevel="0" collapsed="false">
      <c r="A22" s="3" t="n">
        <v>12</v>
      </c>
      <c r="B22" s="3" t="s">
        <v>52</v>
      </c>
      <c r="C22" s="3" t="s">
        <v>53</v>
      </c>
      <c r="D22" s="3" t="s">
        <v>41</v>
      </c>
      <c r="E22" s="13" t="s">
        <v>25</v>
      </c>
      <c r="F22" s="3" t="n">
        <v>1</v>
      </c>
      <c r="G22" s="14" t="n">
        <v>200</v>
      </c>
      <c r="H22" s="15" t="n">
        <v>0.4</v>
      </c>
      <c r="I22" s="8" t="n">
        <v>80</v>
      </c>
      <c r="J22" s="13" t="s">
        <v>26</v>
      </c>
      <c r="K22" s="3" t="n">
        <v>0</v>
      </c>
      <c r="L22" s="8" t="n">
        <f aca="false">I22*K22</f>
        <v>0</v>
      </c>
      <c r="M22" s="16" t="s">
        <v>27</v>
      </c>
    </row>
    <row r="23" customFormat="false" ht="15" hidden="false" customHeight="false" outlineLevel="0" collapsed="false">
      <c r="A23" s="3" t="n">
        <v>13</v>
      </c>
      <c r="B23" s="3" t="s">
        <v>54</v>
      </c>
      <c r="C23" s="3" t="s">
        <v>55</v>
      </c>
      <c r="D23" s="3" t="s">
        <v>24</v>
      </c>
      <c r="E23" s="13" t="s">
        <v>25</v>
      </c>
      <c r="F23" s="3" t="n">
        <v>1</v>
      </c>
      <c r="G23" s="14" t="n">
        <v>300</v>
      </c>
      <c r="H23" s="15" t="n">
        <v>0.35</v>
      </c>
      <c r="I23" s="8" t="n">
        <v>105</v>
      </c>
      <c r="J23" s="13" t="s">
        <v>26</v>
      </c>
      <c r="K23" s="3" t="n">
        <v>12</v>
      </c>
      <c r="L23" s="8" t="n">
        <f aca="false">I23*K23</f>
        <v>1260</v>
      </c>
      <c r="M23" s="17" t="s">
        <v>30</v>
      </c>
    </row>
  </sheetData>
  <autoFilter ref="A10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2026-10-19T12:14:02Z</dcterms:created>
  <dc:creator>openpyxl</dc:creator>
  <dc:description/>
  <dc:language>en-US</dc:language>
  <cp:lastModifiedBy/>
  <dcterms:modified xsi:type="dcterms:W3CDTF">2026-10-19T12:14:02Z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