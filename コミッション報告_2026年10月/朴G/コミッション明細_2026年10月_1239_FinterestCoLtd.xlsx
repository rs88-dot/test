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<sst xmlns="http://schemas.openxmlformats.org/spreadsheetml/2006/main" count="335" uniqueCount="126">
  <si>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</si>
  <si>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</si>
  <si>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</si>
  <si>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Finterest Co., Ltd.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</si>
  <si>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</si>
  <si>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</si>
  <si>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</si>
  <si>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</si>
  <si>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</si>
  <si>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</si>
  <si>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</si>
  <si>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</si>
  <si>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</si>
  <si>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</si>
  <si>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</si>
  <si>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</si>
  <si>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</si>
  <si>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</si>
  <si>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</si>
  <si>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</si>
  <si>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</si>
  <si>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</si>
  <si>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T15W081222</t>
  </si>
  <si>
    <t xml:space="preserve">Nobuyuki Okamatsu</t>
  </si>
  <si>
    <t xml:space="preserve">SPX15-X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</si>
  <si>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</si>
  <si>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</si>
  <si>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</si>
  <si>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T20W043976</t>
  </si>
  <si>
    <t xml:space="preserve">Toyohiro Sugai</t>
  </si>
  <si>
    <t xml:space="preserve">SPX20-X</t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</si>
  <si>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</si>
  <si>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</si>
  <si>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</si>
  <si>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T20W044170</t>
  </si>
  <si>
    <t xml:space="preserve">Hikari Sakurai</t>
  </si>
  <si>
    <t xml:space="preserve">T15W082140</t>
  </si>
  <si>
    <t xml:space="preserve">Takuya Otsuka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</si>
  <si>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</si>
  <si>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T20W044543</t>
  </si>
  <si>
    <t xml:space="preserve">Nobuto Otani</t>
  </si>
  <si>
    <t xml:space="preserve">T20W044577</t>
  </si>
  <si>
    <t xml:space="preserve">Nagisa Sakamoto</t>
  </si>
  <si>
    <t xml:space="preserve">T25W059182</t>
  </si>
  <si>
    <t xml:space="preserve">Riho Isaka</t>
  </si>
  <si>
    <t xml:space="preserve">T25W058356</t>
  </si>
  <si>
    <t xml:space="preserve">Kokona Nakamoto</t>
  </si>
  <si>
    <t xml:space="preserve">T25W059146</t>
  </si>
  <si>
    <t xml:space="preserve">Kazuya Miyauchi</t>
  </si>
  <si>
    <t xml:space="preserve">T15W081362</t>
  </si>
  <si>
    <t xml:space="preserve">Masashi Tomioka</t>
  </si>
  <si>
    <t xml:space="preserve">T25W058117</t>
  </si>
  <si>
    <t xml:space="preserve">Daiki Bessho</t>
  </si>
  <si>
    <t xml:space="preserve">T25W058680</t>
  </si>
  <si>
    <t xml:space="preserve">Hitoshi Ogaki</t>
  </si>
  <si>
    <t xml:space="preserve">T20W045002</t>
  </si>
  <si>
    <t xml:space="preserve">Akitoshi Kanemura</t>
  </si>
  <si>
    <t xml:space="preserve">T25W058711</t>
  </si>
  <si>
    <t xml:space="preserve">Natsuki Aki</t>
  </si>
  <si>
    <t xml:space="preserve">T15W082507</t>
  </si>
  <si>
    <t xml:space="preserve">Miyako Motomura</t>
  </si>
  <si>
    <t xml:space="preserve">T25W059180</t>
  </si>
  <si>
    <t xml:space="preserve">Shun Tanaka</t>
  </si>
  <si>
    <t xml:space="preserve">T25W057542</t>
  </si>
  <si>
    <t xml:space="preserve">Masanobu Ichikawa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</si>
  <si>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</si>
  <si>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T25W059200</t>
  </si>
  <si>
    <t xml:space="preserve">Yusaku Kanai</t>
  </si>
  <si>
    <t xml:space="preserve">T25W059382</t>
  </si>
  <si>
    <t xml:space="preserve">Eiri Matsumoto</t>
  </si>
  <si>
    <t xml:space="preserve">T15W082009</t>
  </si>
  <si>
    <t xml:space="preserve">Reiko Mizutani</t>
  </si>
  <si>
    <t xml:space="preserve">T15W082723</t>
  </si>
  <si>
    <t xml:space="preserve">Yuichi Sugiyama</t>
  </si>
  <si>
    <t xml:space="preserve">T20W044725</t>
  </si>
  <si>
    <t xml:space="preserve">Takaki Sakamoto</t>
  </si>
  <si>
    <t xml:space="preserve">T20W045003</t>
  </si>
  <si>
    <t xml:space="preserve">Ayano Fukuda</t>
  </si>
  <si>
    <t xml:space="preserve">T25W058069</t>
  </si>
  <si>
    <t xml:space="preserve">Kanta Shimizu</t>
  </si>
  <si>
    <t xml:space="preserve">T25W058246</t>
  </si>
  <si>
    <t xml:space="preserve">Noe Ishigaki</t>
  </si>
  <si>
    <t xml:space="preserve">T25W058278</t>
  </si>
  <si>
    <t xml:space="preserve">Saki Goto</t>
  </si>
  <si>
    <t xml:space="preserve">T15W081183</t>
  </si>
  <si>
    <t xml:space="preserve">Mutsumi Makishi</t>
  </si>
  <si>
    <t xml:space="preserve">T20W044682</t>
  </si>
  <si>
    <t xml:space="preserve">Takahiro Shiotani</t>
  </si>
  <si>
    <t xml:space="preserve">T25W058318</t>
  </si>
  <si>
    <t xml:space="preserve">Kazumori Kakiuchi</t>
  </si>
  <si>
    <t xml:space="preserve">T25W059423</t>
  </si>
  <si>
    <t xml:space="preserve">Mei Inoue</t>
  </si>
  <si>
    <t xml:space="preserve">T20W044100</t>
  </si>
  <si>
    <t xml:space="preserve">Honoka Minami</t>
  </si>
  <si>
    <t xml:space="preserve">T15W080996</t>
  </si>
  <si>
    <t xml:space="preserve">Ryoma Nakamura</t>
  </si>
  <si>
    <t xml:space="preserve">T15W081148</t>
  </si>
  <si>
    <t xml:space="preserve">Aya Imaoka</t>
  </si>
  <si>
    <t xml:space="preserve">T20W044683</t>
  </si>
  <si>
    <t xml:space="preserve">Syuya Maeda</t>
  </si>
  <si>
    <t xml:space="preserve">T20W044761</t>
  </si>
  <si>
    <t xml:space="preserve">Mayu Matsumoto</t>
  </si>
  <si>
    <t xml:space="preserve">T25W057561</t>
  </si>
  <si>
    <t xml:space="preserve">Teruaki Yamaguchi</t>
  </si>
  <si>
    <t xml:space="preserve">T20W045001</t>
  </si>
  <si>
    <t xml:space="preserve">Rino Ogawa</t>
  </si>
  <si>
    <t xml:space="preserve">T15W082209</t>
  </si>
  <si>
    <t xml:space="preserve">Masako Sasaki</t>
  </si>
  <si>
    <t xml:space="preserve">T15W082267</t>
  </si>
  <si>
    <t xml:space="preserve">Sae Tanaka</t>
  </si>
  <si>
    <t xml:space="preserve">T15W082852</t>
  </si>
  <si>
    <t xml:space="preserve">Seiya Nomura</t>
  </si>
  <si>
    <t xml:space="preserve">T20W044436</t>
  </si>
  <si>
    <t xml:space="preserve">Yuzuki Tomita</t>
  </si>
  <si>
    <t xml:space="preserve">T20W045143</t>
  </si>
  <si>
    <t xml:space="preserve">Suzuha Nishitani</t>
  </si>
  <si>
    <t xml:space="preserve">T15W081146</t>
  </si>
  <si>
    <t xml:space="preserve">Asahi Ota</t>
  </si>
  <si>
    <t xml:space="preserve">T20W045151</t>
  </si>
  <si>
    <t xml:space="preserve">Rikuto Hirata</t>
  </si>
  <si>
    <t xml:space="preserve">T25W058461</t>
  </si>
  <si>
    <t xml:space="preserve">Mika Kamamoto</t>
  </si>
  <si>
    <t xml:space="preserve">T25W059123</t>
  </si>
  <si>
    <t xml:space="preserve">Yasuhiro Onoe</t>
  </si>
  <si>
    <t xml:space="preserve">T20W045083</t>
  </si>
  <si>
    <t xml:space="preserve">Jihae Yang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</si>
</sst>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1239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SUM(L11:L62)</f>
        <v>23442</v>
      </c>
      <c r="E5" s="6" t="s">
        <v>5</v>
      </c>
      <c r="F5" s="7" t="n">
        <f aca="false">COUNTA(B11:B62)</f>
        <v>52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23437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200</v>
      </c>
      <c r="H11" s="15" t="n">
        <v>0.25</v>
      </c>
      <c r="I11" s="8" t="n">
        <v>50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30</v>
      </c>
      <c r="E12" s="13" t="s">
        <v>25</v>
      </c>
      <c r="F12" s="3" t="n">
        <v>1</v>
      </c>
      <c r="G12" s="14" t="n">
        <v>200</v>
      </c>
      <c r="H12" s="15" t="n">
        <v>0.25</v>
      </c>
      <c r="I12" s="8" t="n">
        <v>50</v>
      </c>
      <c r="J12" s="13" t="s">
        <v>26</v>
      </c>
      <c r="K12" s="3" t="n">
        <v>0</v>
      </c>
      <c r="L12" s="8" t="n">
        <f aca="false">I12*K12</f>
        <v>0</v>
      </c>
      <c r="M12" s="16" t="s">
        <v>27</v>
      </c>
    </row>
    <row r="13" customFormat="false" ht="15" hidden="false" customHeight="false" outlineLevel="0" collapsed="false">
      <c r="A13" s="3" t="n">
        <v>3</v>
      </c>
      <c r="B13" s="3" t="s">
        <v>28</v>
      </c>
      <c r="C13" s="3" t="s">
        <v>29</v>
      </c>
      <c r="D13" s="3" t="s">
        <v>31</v>
      </c>
      <c r="E13" s="13" t="s">
        <v>32</v>
      </c>
      <c r="F13" s="3" t="n">
        <v>1</v>
      </c>
      <c r="G13" s="14" t="n">
        <v>150</v>
      </c>
      <c r="H13" s="15" t="n">
        <v>0.25</v>
      </c>
      <c r="I13" s="8" t="n">
        <v>37.5</v>
      </c>
      <c r="J13" s="13" t="s">
        <v>26</v>
      </c>
      <c r="K13" s="3" t="n">
        <v>0</v>
      </c>
      <c r="L13" s="8" t="n">
        <f aca="false">I13*K13</f>
        <v>0</v>
      </c>
      <c r="M13" s="16" t="s">
        <v>33</v>
      </c>
    </row>
    <row r="14" customFormat="false" ht="15" hidden="false" customHeight="false" outlineLevel="0" collapsed="false">
      <c r="A14" s="3" t="n">
        <v>4</v>
      </c>
      <c r="B14" s="3" t="s">
        <v>34</v>
      </c>
      <c r="C14" s="3" t="s">
        <v>35</v>
      </c>
      <c r="D14" s="3" t="s">
        <v>30</v>
      </c>
      <c r="E14" s="13" t="s">
        <v>25</v>
      </c>
      <c r="F14" s="3" t="n">
        <v>1</v>
      </c>
      <c r="G14" s="14" t="n">
        <v>300</v>
      </c>
      <c r="H14" s="15" t="n">
        <v>0.2</v>
      </c>
      <c r="I14" s="8" t="n">
        <v>60</v>
      </c>
      <c r="J14" s="13" t="s">
        <v>26</v>
      </c>
      <c r="K14" s="3" t="n">
        <v>0</v>
      </c>
      <c r="L14" s="8" t="n">
        <f aca="false">I14*K14</f>
        <v>0</v>
      </c>
      <c r="M14" s="16" t="s">
        <v>27</v>
      </c>
    </row>
    <row r="15" customFormat="false" ht="15" hidden="false" customHeight="false" outlineLevel="0" collapsed="false">
      <c r="A15" s="3" t="n">
        <v>5</v>
      </c>
      <c r="B15" s="3" t="s">
        <v>36</v>
      </c>
      <c r="C15" s="3" t="s">
        <v>37</v>
      </c>
      <c r="D15" s="3" t="s">
        <v>24</v>
      </c>
      <c r="E15" s="13" t="s">
        <v>25</v>
      </c>
      <c r="F15" s="3" t="n">
        <v>1</v>
      </c>
      <c r="G15" s="14" t="n">
        <v>400</v>
      </c>
      <c r="H15" s="15" t="n">
        <v>0.25</v>
      </c>
      <c r="I15" s="8" t="n">
        <v>100</v>
      </c>
      <c r="J15" s="13" t="s">
        <v>26</v>
      </c>
      <c r="K15" s="3" t="n">
        <v>0</v>
      </c>
      <c r="L15" s="8" t="n">
        <f aca="false">I15*K15</f>
        <v>0</v>
      </c>
      <c r="M15" s="16" t="s">
        <v>33</v>
      </c>
    </row>
    <row r="16" customFormat="false" ht="15" hidden="false" customHeight="false" outlineLevel="0" collapsed="false">
      <c r="A16" s="3" t="n">
        <v>6</v>
      </c>
      <c r="B16" s="3" t="s">
        <v>36</v>
      </c>
      <c r="C16" s="3" t="s">
        <v>37</v>
      </c>
      <c r="D16" s="3" t="s">
        <v>31</v>
      </c>
      <c r="E16" s="13" t="s">
        <v>32</v>
      </c>
      <c r="F16" s="3" t="n">
        <v>1</v>
      </c>
      <c r="G16" s="14" t="n">
        <v>150</v>
      </c>
      <c r="H16" s="15" t="n">
        <v>0.3</v>
      </c>
      <c r="I16" s="8" t="n">
        <v>45</v>
      </c>
      <c r="J16" s="13" t="s">
        <v>26</v>
      </c>
      <c r="K16" s="3" t="n">
        <v>12</v>
      </c>
      <c r="L16" s="8" t="n">
        <f aca="false">I16*K16</f>
        <v>540</v>
      </c>
      <c r="M16" s="17" t="s">
        <v>38</v>
      </c>
    </row>
    <row r="17" customFormat="false" ht="15" hidden="false" customHeight="false" outlineLevel="0" collapsed="false">
      <c r="A17" s="3" t="n">
        <v>7</v>
      </c>
      <c r="B17" s="3" t="s">
        <v>39</v>
      </c>
      <c r="C17" s="3" t="s">
        <v>40</v>
      </c>
      <c r="D17" s="3" t="s">
        <v>30</v>
      </c>
      <c r="E17" s="13" t="s">
        <v>25</v>
      </c>
      <c r="F17" s="3" t="n">
        <v>1</v>
      </c>
      <c r="G17" s="14" t="n">
        <v>300</v>
      </c>
      <c r="H17" s="15" t="n">
        <v>0.25</v>
      </c>
      <c r="I17" s="8" t="n">
        <v>75</v>
      </c>
      <c r="J17" s="13" t="s">
        <v>26</v>
      </c>
      <c r="K17" s="3" t="n">
        <v>0</v>
      </c>
      <c r="L17" s="8" t="n">
        <f aca="false">I17*K17</f>
        <v>0</v>
      </c>
      <c r="M17" s="16" t="s">
        <v>33</v>
      </c>
    </row>
    <row r="18" customFormat="false" ht="15" hidden="false" customHeight="false" outlineLevel="0" collapsed="false">
      <c r="A18" s="3" t="n">
        <v>8</v>
      </c>
      <c r="B18" s="3" t="s">
        <v>41</v>
      </c>
      <c r="C18" s="3" t="s">
        <v>42</v>
      </c>
      <c r="D18" s="3" t="s">
        <v>30</v>
      </c>
      <c r="E18" s="13" t="s">
        <v>25</v>
      </c>
      <c r="F18" s="3" t="n">
        <v>1</v>
      </c>
      <c r="G18" s="14" t="n">
        <v>200</v>
      </c>
      <c r="H18" s="15" t="n">
        <v>0.25</v>
      </c>
      <c r="I18" s="8" t="n">
        <v>50</v>
      </c>
      <c r="J18" s="13" t="s">
        <v>26</v>
      </c>
      <c r="K18" s="3" t="n">
        <v>0</v>
      </c>
      <c r="L18" s="8" t="n">
        <f aca="false">I18*K18</f>
        <v>0</v>
      </c>
      <c r="M18" s="16" t="s">
        <v>33</v>
      </c>
    </row>
    <row r="19" customFormat="false" ht="15" hidden="false" customHeight="false" outlineLevel="0" collapsed="false">
      <c r="A19" s="3" t="n">
        <v>9</v>
      </c>
      <c r="B19" s="3" t="s">
        <v>43</v>
      </c>
      <c r="C19" s="3" t="s">
        <v>44</v>
      </c>
      <c r="D19" s="3" t="s">
        <v>31</v>
      </c>
      <c r="E19" s="13" t="s">
        <v>25</v>
      </c>
      <c r="F19" s="3" t="n">
        <v>1</v>
      </c>
      <c r="G19" s="14" t="n">
        <v>320</v>
      </c>
      <c r="H19" s="15" t="n">
        <v>0.1</v>
      </c>
      <c r="I19" s="8" t="n">
        <v>32</v>
      </c>
      <c r="J19" s="13" t="s">
        <v>26</v>
      </c>
      <c r="K19" s="3" t="n">
        <v>12</v>
      </c>
      <c r="L19" s="8" t="n">
        <f aca="false">I19*K19</f>
        <v>384</v>
      </c>
      <c r="M19" s="17" t="s">
        <v>38</v>
      </c>
    </row>
    <row r="20" customFormat="false" ht="15" hidden="false" customHeight="false" outlineLevel="0" collapsed="false">
      <c r="A20" s="3" t="n">
        <v>10</v>
      </c>
      <c r="B20" s="3" t="s">
        <v>45</v>
      </c>
      <c r="C20" s="3" t="s">
        <v>46</v>
      </c>
      <c r="D20" s="3" t="s">
        <v>31</v>
      </c>
      <c r="E20" s="13" t="s">
        <v>25</v>
      </c>
      <c r="F20" s="3" t="n">
        <v>1</v>
      </c>
      <c r="G20" s="14" t="n">
        <v>100</v>
      </c>
      <c r="H20" s="15" t="n">
        <v>0.25</v>
      </c>
      <c r="I20" s="8" t="n">
        <v>25</v>
      </c>
      <c r="J20" s="13" t="s">
        <v>26</v>
      </c>
      <c r="K20" s="3" t="n">
        <v>0</v>
      </c>
      <c r="L20" s="8" t="n">
        <f aca="false">I20*K20</f>
        <v>0</v>
      </c>
      <c r="M20" s="16" t="s">
        <v>33</v>
      </c>
    </row>
    <row r="21" customFormat="false" ht="15" hidden="false" customHeight="false" outlineLevel="0" collapsed="false">
      <c r="A21" s="3" t="n">
        <v>11</v>
      </c>
      <c r="B21" s="3" t="s">
        <v>47</v>
      </c>
      <c r="C21" s="3" t="s">
        <v>48</v>
      </c>
      <c r="D21" s="3" t="s">
        <v>31</v>
      </c>
      <c r="E21" s="13" t="s">
        <v>25</v>
      </c>
      <c r="F21" s="3" t="n">
        <v>1</v>
      </c>
      <c r="G21" s="14" t="n">
        <v>500</v>
      </c>
      <c r="H21" s="15" t="n">
        <v>0.3</v>
      </c>
      <c r="I21" s="8" t="n">
        <v>150</v>
      </c>
      <c r="J21" s="13" t="s">
        <v>26</v>
      </c>
      <c r="K21" s="3" t="n">
        <v>12</v>
      </c>
      <c r="L21" s="8" t="n">
        <f aca="false">I21*K21</f>
        <v>1800</v>
      </c>
      <c r="M21" s="17" t="s">
        <v>38</v>
      </c>
    </row>
    <row r="22" customFormat="false" ht="15" hidden="false" customHeight="false" outlineLevel="0" collapsed="false">
      <c r="A22" s="3" t="n">
        <v>12</v>
      </c>
      <c r="B22" s="3" t="s">
        <v>49</v>
      </c>
      <c r="C22" s="3" t="s">
        <v>50</v>
      </c>
      <c r="D22" s="3" t="s">
        <v>24</v>
      </c>
      <c r="E22" s="13" t="s">
        <v>25</v>
      </c>
      <c r="F22" s="3" t="n">
        <v>1</v>
      </c>
      <c r="G22" s="14" t="n">
        <v>200</v>
      </c>
      <c r="H22" s="15" t="n">
        <v>0.25</v>
      </c>
      <c r="I22" s="8" t="n">
        <v>50</v>
      </c>
      <c r="J22" s="13" t="s">
        <v>26</v>
      </c>
      <c r="K22" s="3" t="n">
        <v>0</v>
      </c>
      <c r="L22" s="8" t="n">
        <f aca="false">I22*K22</f>
        <v>0</v>
      </c>
      <c r="M22" s="16" t="s">
        <v>27</v>
      </c>
    </row>
    <row r="23" customFormat="false" ht="15" hidden="false" customHeight="false" outlineLevel="0" collapsed="false">
      <c r="A23" s="3" t="n">
        <v>13</v>
      </c>
      <c r="B23" s="3" t="s">
        <v>51</v>
      </c>
      <c r="C23" s="3" t="s">
        <v>52</v>
      </c>
      <c r="D23" s="3" t="s">
        <v>31</v>
      </c>
      <c r="E23" s="13" t="s">
        <v>25</v>
      </c>
      <c r="F23" s="3" t="n">
        <v>1</v>
      </c>
      <c r="G23" s="14" t="n">
        <v>300</v>
      </c>
      <c r="H23" s="15" t="n">
        <v>0.25</v>
      </c>
      <c r="I23" s="8" t="n">
        <v>75</v>
      </c>
      <c r="J23" s="13" t="s">
        <v>26</v>
      </c>
      <c r="K23" s="3" t="n">
        <v>0</v>
      </c>
      <c r="L23" s="8" t="n">
        <f aca="false">I23*K23</f>
        <v>0</v>
      </c>
      <c r="M23" s="16" t="s">
        <v>27</v>
      </c>
    </row>
    <row r="24" customFormat="false" ht="15" hidden="false" customHeight="false" outlineLevel="0" collapsed="false">
      <c r="A24" s="3" t="n">
        <v>14</v>
      </c>
      <c r="B24" s="3" t="s">
        <v>53</v>
      </c>
      <c r="C24" s="3" t="s">
        <v>54</v>
      </c>
      <c r="D24" s="3" t="s">
        <v>31</v>
      </c>
      <c r="E24" s="13" t="s">
        <v>25</v>
      </c>
      <c r="F24" s="3" t="n">
        <v>1</v>
      </c>
      <c r="G24" s="14" t="n">
        <v>100</v>
      </c>
      <c r="H24" s="15" t="n">
        <v>0.2</v>
      </c>
      <c r="I24" s="8" t="n">
        <v>20</v>
      </c>
      <c r="J24" s="13" t="s">
        <v>26</v>
      </c>
      <c r="K24" s="3" t="n">
        <v>0</v>
      </c>
      <c r="L24" s="8" t="n">
        <f aca="false">I24*K24</f>
        <v>0</v>
      </c>
      <c r="M24" s="16" t="s">
        <v>33</v>
      </c>
    </row>
    <row r="25" customFormat="false" ht="15" hidden="false" customHeight="false" outlineLevel="0" collapsed="false">
      <c r="A25" s="3" t="n">
        <v>15</v>
      </c>
      <c r="B25" s="3" t="s">
        <v>55</v>
      </c>
      <c r="C25" s="3" t="s">
        <v>56</v>
      </c>
      <c r="D25" s="3" t="s">
        <v>30</v>
      </c>
      <c r="E25" s="13" t="s">
        <v>25</v>
      </c>
      <c r="F25" s="3" t="n">
        <v>1</v>
      </c>
      <c r="G25" s="14" t="n">
        <v>265</v>
      </c>
      <c r="H25" s="15" t="n">
        <v>0.25</v>
      </c>
      <c r="I25" s="8" t="n">
        <v>66.25</v>
      </c>
      <c r="J25" s="13" t="s">
        <v>26</v>
      </c>
      <c r="K25" s="3" t="n">
        <v>12</v>
      </c>
      <c r="L25" s="8" t="n">
        <f aca="false">I25*K25</f>
        <v>795</v>
      </c>
      <c r="M25" s="17" t="s">
        <v>38</v>
      </c>
    </row>
    <row r="26" customFormat="false" ht="15" hidden="false" customHeight="false" outlineLevel="0" collapsed="false">
      <c r="A26" s="3" t="n">
        <v>16</v>
      </c>
      <c r="B26" s="3" t="s">
        <v>57</v>
      </c>
      <c r="C26" s="3" t="s">
        <v>58</v>
      </c>
      <c r="D26" s="3" t="s">
        <v>31</v>
      </c>
      <c r="E26" s="13" t="s">
        <v>25</v>
      </c>
      <c r="F26" s="3" t="n">
        <v>1</v>
      </c>
      <c r="G26" s="14" t="n">
        <v>150</v>
      </c>
      <c r="H26" s="15" t="n">
        <v>0.25</v>
      </c>
      <c r="I26" s="8" t="n">
        <v>37.5</v>
      </c>
      <c r="J26" s="13" t="s">
        <v>26</v>
      </c>
      <c r="K26" s="3" t="n">
        <v>0</v>
      </c>
      <c r="L26" s="8" t="n">
        <f aca="false">I26*K26</f>
        <v>0</v>
      </c>
      <c r="M26" s="16" t="s">
        <v>33</v>
      </c>
    </row>
    <row r="27" customFormat="false" ht="15" hidden="false" customHeight="false" outlineLevel="0" collapsed="false">
      <c r="A27" s="3" t="n">
        <v>17</v>
      </c>
      <c r="B27" s="3" t="s">
        <v>59</v>
      </c>
      <c r="C27" s="3" t="s">
        <v>60</v>
      </c>
      <c r="D27" s="3" t="s">
        <v>24</v>
      </c>
      <c r="E27" s="13" t="s">
        <v>25</v>
      </c>
      <c r="F27" s="3" t="n">
        <v>1</v>
      </c>
      <c r="G27" s="14" t="n">
        <v>200</v>
      </c>
      <c r="H27" s="15" t="n">
        <v>0.3</v>
      </c>
      <c r="I27" s="8" t="n">
        <v>60</v>
      </c>
      <c r="J27" s="13" t="s">
        <v>26</v>
      </c>
      <c r="K27" s="3" t="n">
        <v>12</v>
      </c>
      <c r="L27" s="8" t="n">
        <f aca="false">I27*K27</f>
        <v>720</v>
      </c>
      <c r="M27" s="17" t="s">
        <v>38</v>
      </c>
    </row>
    <row r="28" customFormat="false" ht="15" hidden="false" customHeight="false" outlineLevel="0" collapsed="false">
      <c r="A28" s="3" t="n">
        <v>18</v>
      </c>
      <c r="B28" s="3" t="s">
        <v>61</v>
      </c>
      <c r="C28" s="3" t="s">
        <v>62</v>
      </c>
      <c r="D28" s="3" t="s">
        <v>31</v>
      </c>
      <c r="E28" s="13" t="s">
        <v>25</v>
      </c>
      <c r="F28" s="3" t="n">
        <v>1</v>
      </c>
      <c r="G28" s="14" t="n">
        <v>150</v>
      </c>
      <c r="H28" s="15" t="n">
        <v>0.3</v>
      </c>
      <c r="I28" s="8" t="n">
        <v>45</v>
      </c>
      <c r="J28" s="13" t="s">
        <v>26</v>
      </c>
      <c r="K28" s="3" t="n">
        <v>12</v>
      </c>
      <c r="L28" s="8" t="n">
        <f aca="false">I28*K28</f>
        <v>540</v>
      </c>
      <c r="M28" s="17" t="s">
        <v>38</v>
      </c>
    </row>
    <row r="29" customFormat="false" ht="15" hidden="false" customHeight="false" outlineLevel="0" collapsed="false">
      <c r="A29" s="3" t="n">
        <v>19</v>
      </c>
      <c r="B29" s="3" t="s">
        <v>63</v>
      </c>
      <c r="C29" s="3" t="s">
        <v>64</v>
      </c>
      <c r="D29" s="3" t="s">
        <v>31</v>
      </c>
      <c r="E29" s="13" t="s">
        <v>25</v>
      </c>
      <c r="F29" s="3" t="n">
        <v>1</v>
      </c>
      <c r="G29" s="14" t="n">
        <v>100</v>
      </c>
      <c r="H29" s="15" t="n">
        <v>0.25</v>
      </c>
      <c r="I29" s="8" t="n">
        <v>25</v>
      </c>
      <c r="J29" s="13" t="s">
        <v>26</v>
      </c>
      <c r="K29" s="3" t="n">
        <v>0</v>
      </c>
      <c r="L29" s="8" t="n">
        <f aca="false">I29*K29</f>
        <v>0</v>
      </c>
      <c r="M29" s="16" t="s">
        <v>65</v>
      </c>
    </row>
    <row r="30" customFormat="false" ht="15" hidden="false" customHeight="false" outlineLevel="0" collapsed="false">
      <c r="A30" s="3" t="n">
        <v>20</v>
      </c>
      <c r="B30" s="3" t="s">
        <v>66</v>
      </c>
      <c r="C30" s="3" t="s">
        <v>67</v>
      </c>
      <c r="D30" s="3" t="s">
        <v>31</v>
      </c>
      <c r="E30" s="13" t="s">
        <v>25</v>
      </c>
      <c r="F30" s="3" t="n">
        <v>1</v>
      </c>
      <c r="G30" s="14" t="n">
        <v>300</v>
      </c>
      <c r="H30" s="15" t="n">
        <v>0.3</v>
      </c>
      <c r="I30" s="8" t="n">
        <v>90</v>
      </c>
      <c r="J30" s="13" t="s">
        <v>26</v>
      </c>
      <c r="K30" s="3" t="n">
        <v>12</v>
      </c>
      <c r="L30" s="8" t="n">
        <f aca="false">I30*K30</f>
        <v>1080</v>
      </c>
      <c r="M30" s="17" t="s">
        <v>38</v>
      </c>
    </row>
    <row r="31" customFormat="false" ht="15" hidden="false" customHeight="false" outlineLevel="0" collapsed="false">
      <c r="A31" s="3" t="n">
        <v>21</v>
      </c>
      <c r="B31" s="3" t="s">
        <v>68</v>
      </c>
      <c r="C31" s="3" t="s">
        <v>69</v>
      </c>
      <c r="D31" s="3" t="s">
        <v>31</v>
      </c>
      <c r="E31" s="13" t="s">
        <v>25</v>
      </c>
      <c r="F31" s="3" t="n">
        <v>1</v>
      </c>
      <c r="G31" s="14" t="n">
        <v>300</v>
      </c>
      <c r="H31" s="15" t="n">
        <v>0.3</v>
      </c>
      <c r="I31" s="8" t="n">
        <v>90</v>
      </c>
      <c r="J31" s="13" t="s">
        <v>26</v>
      </c>
      <c r="K31" s="3" t="n">
        <v>12</v>
      </c>
      <c r="L31" s="8" t="n">
        <f aca="false">I31*K31</f>
        <v>1080</v>
      </c>
      <c r="M31" s="17" t="s">
        <v>38</v>
      </c>
    </row>
    <row r="32" customFormat="false" ht="15" hidden="false" customHeight="false" outlineLevel="0" collapsed="false">
      <c r="A32" s="3" t="n">
        <v>22</v>
      </c>
      <c r="B32" s="3" t="s">
        <v>70</v>
      </c>
      <c r="C32" s="3" t="s">
        <v>71</v>
      </c>
      <c r="D32" s="3" t="s">
        <v>24</v>
      </c>
      <c r="E32" s="13" t="s">
        <v>25</v>
      </c>
      <c r="F32" s="3" t="n">
        <v>1</v>
      </c>
      <c r="G32" s="14" t="n">
        <v>450</v>
      </c>
      <c r="H32" s="15" t="n">
        <v>0.2</v>
      </c>
      <c r="I32" s="8" t="n">
        <v>90</v>
      </c>
      <c r="J32" s="13" t="s">
        <v>26</v>
      </c>
      <c r="K32" s="3" t="n">
        <v>0</v>
      </c>
      <c r="L32" s="8" t="n">
        <f aca="false">I32*K32</f>
        <v>0</v>
      </c>
      <c r="M32" s="16" t="s">
        <v>33</v>
      </c>
    </row>
    <row r="33" customFormat="false" ht="15" hidden="false" customHeight="false" outlineLevel="0" collapsed="false">
      <c r="A33" s="3" t="n">
        <v>23</v>
      </c>
      <c r="B33" s="3" t="s">
        <v>72</v>
      </c>
      <c r="C33" s="3" t="s">
        <v>73</v>
      </c>
      <c r="D33" s="3" t="s">
        <v>24</v>
      </c>
      <c r="E33" s="13" t="s">
        <v>25</v>
      </c>
      <c r="F33" s="3" t="n">
        <v>1</v>
      </c>
      <c r="G33" s="14" t="n">
        <v>900</v>
      </c>
      <c r="H33" s="15" t="n">
        <v>0.25</v>
      </c>
      <c r="I33" s="8" t="n">
        <v>225</v>
      </c>
      <c r="J33" s="13" t="s">
        <v>26</v>
      </c>
      <c r="K33" s="3" t="n">
        <v>12</v>
      </c>
      <c r="L33" s="8" t="n">
        <f aca="false">I33*K33</f>
        <v>2700</v>
      </c>
      <c r="M33" s="17" t="s">
        <v>38</v>
      </c>
    </row>
    <row r="34" customFormat="false" ht="15" hidden="false" customHeight="false" outlineLevel="0" collapsed="false">
      <c r="A34" s="3" t="n">
        <v>24</v>
      </c>
      <c r="B34" s="3" t="s">
        <v>74</v>
      </c>
      <c r="C34" s="3" t="s">
        <v>75</v>
      </c>
      <c r="D34" s="3" t="s">
        <v>30</v>
      </c>
      <c r="E34" s="13" t="s">
        <v>25</v>
      </c>
      <c r="F34" s="3" t="n">
        <v>1</v>
      </c>
      <c r="G34" s="14" t="n">
        <v>200</v>
      </c>
      <c r="H34" s="15" t="n">
        <v>0.25</v>
      </c>
      <c r="I34" s="8" t="n">
        <v>50</v>
      </c>
      <c r="J34" s="13" t="s">
        <v>26</v>
      </c>
      <c r="K34" s="3" t="n">
        <v>0</v>
      </c>
      <c r="L34" s="8" t="n">
        <f aca="false">I34*K34</f>
        <v>0</v>
      </c>
      <c r="M34" s="16" t="s">
        <v>33</v>
      </c>
    </row>
    <row r="35" customFormat="false" ht="15" hidden="false" customHeight="false" outlineLevel="0" collapsed="false">
      <c r="A35" s="3" t="n">
        <v>25</v>
      </c>
      <c r="B35" s="3" t="s">
        <v>76</v>
      </c>
      <c r="C35" s="3" t="s">
        <v>77</v>
      </c>
      <c r="D35" s="3" t="s">
        <v>30</v>
      </c>
      <c r="E35" s="13" t="s">
        <v>25</v>
      </c>
      <c r="F35" s="3" t="n">
        <v>1</v>
      </c>
      <c r="G35" s="14" t="n">
        <v>265</v>
      </c>
      <c r="H35" s="15" t="n">
        <v>0.25</v>
      </c>
      <c r="I35" s="8" t="n">
        <v>66.25</v>
      </c>
      <c r="J35" s="13" t="s">
        <v>26</v>
      </c>
      <c r="K35" s="3" t="n">
        <v>12</v>
      </c>
      <c r="L35" s="8" t="n">
        <f aca="false">I35*K35</f>
        <v>795</v>
      </c>
      <c r="M35" s="17" t="s">
        <v>38</v>
      </c>
    </row>
    <row r="36" customFormat="false" ht="15" hidden="false" customHeight="false" outlineLevel="0" collapsed="false">
      <c r="A36" s="3" t="n">
        <v>26</v>
      </c>
      <c r="B36" s="3" t="s">
        <v>78</v>
      </c>
      <c r="C36" s="3" t="s">
        <v>79</v>
      </c>
      <c r="D36" s="3" t="s">
        <v>31</v>
      </c>
      <c r="E36" s="13" t="s">
        <v>25</v>
      </c>
      <c r="F36" s="3" t="n">
        <v>1</v>
      </c>
      <c r="G36" s="14" t="n">
        <v>200</v>
      </c>
      <c r="H36" s="15" t="n">
        <v>0.25</v>
      </c>
      <c r="I36" s="8" t="n">
        <v>50</v>
      </c>
      <c r="J36" s="13" t="s">
        <v>26</v>
      </c>
      <c r="K36" s="3" t="n">
        <v>0</v>
      </c>
      <c r="L36" s="8" t="n">
        <f aca="false">I36*K36</f>
        <v>0</v>
      </c>
      <c r="M36" s="16" t="s">
        <v>27</v>
      </c>
    </row>
    <row r="37" customFormat="false" ht="15" hidden="false" customHeight="false" outlineLevel="0" collapsed="false">
      <c r="A37" s="3" t="n">
        <v>27</v>
      </c>
      <c r="B37" s="3" t="s">
        <v>80</v>
      </c>
      <c r="C37" s="3" t="s">
        <v>81</v>
      </c>
      <c r="D37" s="3" t="s">
        <v>31</v>
      </c>
      <c r="E37" s="13" t="s">
        <v>25</v>
      </c>
      <c r="F37" s="3" t="n">
        <v>1</v>
      </c>
      <c r="G37" s="14" t="n">
        <v>100</v>
      </c>
      <c r="H37" s="15" t="n">
        <v>0.2</v>
      </c>
      <c r="I37" s="8" t="n">
        <v>20</v>
      </c>
      <c r="J37" s="13" t="s">
        <v>26</v>
      </c>
      <c r="K37" s="3" t="n">
        <v>0</v>
      </c>
      <c r="L37" s="8" t="n">
        <f aca="false">I37*K37</f>
        <v>0</v>
      </c>
      <c r="M37" s="16" t="s">
        <v>27</v>
      </c>
    </row>
    <row r="38" customFormat="false" ht="15" hidden="false" customHeight="false" outlineLevel="0" collapsed="false">
      <c r="A38" s="3" t="n">
        <v>28</v>
      </c>
      <c r="B38" s="3" t="s">
        <v>82</v>
      </c>
      <c r="C38" s="3" t="s">
        <v>83</v>
      </c>
      <c r="D38" s="3" t="s">
        <v>31</v>
      </c>
      <c r="E38" s="13" t="s">
        <v>25</v>
      </c>
      <c r="F38" s="3" t="n">
        <v>1</v>
      </c>
      <c r="G38" s="14" t="n">
        <v>600</v>
      </c>
      <c r="H38" s="15" t="n">
        <v>0.2</v>
      </c>
      <c r="I38" s="8" t="n">
        <v>120</v>
      </c>
      <c r="J38" s="13" t="s">
        <v>26</v>
      </c>
      <c r="K38" s="3" t="n">
        <v>0</v>
      </c>
      <c r="L38" s="8" t="n">
        <f aca="false">I38*K38</f>
        <v>0</v>
      </c>
      <c r="M38" s="16" t="s">
        <v>27</v>
      </c>
    </row>
    <row r="39" customFormat="false" ht="15" hidden="false" customHeight="false" outlineLevel="0" collapsed="false">
      <c r="A39" s="3" t="n">
        <v>29</v>
      </c>
      <c r="B39" s="3" t="s">
        <v>84</v>
      </c>
      <c r="C39" s="3" t="s">
        <v>85</v>
      </c>
      <c r="D39" s="3" t="s">
        <v>24</v>
      </c>
      <c r="E39" s="13" t="s">
        <v>25</v>
      </c>
      <c r="F39" s="3" t="n">
        <v>1</v>
      </c>
      <c r="G39" s="14" t="n">
        <v>300</v>
      </c>
      <c r="H39" s="15" t="n">
        <v>0.25</v>
      </c>
      <c r="I39" s="8" t="n">
        <v>75</v>
      </c>
      <c r="J39" s="13" t="s">
        <v>26</v>
      </c>
      <c r="K39" s="3" t="n">
        <v>0</v>
      </c>
      <c r="L39" s="8" t="n">
        <f aca="false">I39*K39</f>
        <v>0</v>
      </c>
      <c r="M39" s="16" t="s">
        <v>27</v>
      </c>
    </row>
    <row r="40" customFormat="false" ht="15" hidden="false" customHeight="false" outlineLevel="0" collapsed="false">
      <c r="A40" s="3" t="n">
        <v>30</v>
      </c>
      <c r="B40" s="3" t="s">
        <v>86</v>
      </c>
      <c r="C40" s="3" t="s">
        <v>87</v>
      </c>
      <c r="D40" s="3" t="s">
        <v>30</v>
      </c>
      <c r="E40" s="13" t="s">
        <v>25</v>
      </c>
      <c r="F40" s="3" t="n">
        <v>1</v>
      </c>
      <c r="G40" s="14" t="n">
        <v>450</v>
      </c>
      <c r="H40" s="15" t="n">
        <v>0.2</v>
      </c>
      <c r="I40" s="8" t="n">
        <v>90</v>
      </c>
      <c r="J40" s="13" t="s">
        <v>26</v>
      </c>
      <c r="K40" s="3" t="n">
        <v>0</v>
      </c>
      <c r="L40" s="8" t="n">
        <f aca="false">I40*K40</f>
        <v>0</v>
      </c>
      <c r="M40" s="16" t="s">
        <v>33</v>
      </c>
    </row>
    <row r="41" customFormat="false" ht="15" hidden="false" customHeight="false" outlineLevel="0" collapsed="false">
      <c r="A41" s="3" t="n">
        <v>31</v>
      </c>
      <c r="B41" s="3" t="s">
        <v>88</v>
      </c>
      <c r="C41" s="3" t="s">
        <v>89</v>
      </c>
      <c r="D41" s="3" t="s">
        <v>31</v>
      </c>
      <c r="E41" s="13" t="s">
        <v>25</v>
      </c>
      <c r="F41" s="3" t="n">
        <v>1</v>
      </c>
      <c r="G41" s="14" t="n">
        <v>200</v>
      </c>
      <c r="H41" s="15" t="n">
        <v>0.25</v>
      </c>
      <c r="I41" s="8" t="n">
        <v>50</v>
      </c>
      <c r="J41" s="13" t="s">
        <v>26</v>
      </c>
      <c r="K41" s="3" t="n">
        <v>0</v>
      </c>
      <c r="L41" s="8" t="n">
        <f aca="false">I41*K41</f>
        <v>0</v>
      </c>
      <c r="M41" s="16" t="s">
        <v>27</v>
      </c>
    </row>
    <row r="42" customFormat="false" ht="15" hidden="false" customHeight="false" outlineLevel="0" collapsed="false">
      <c r="A42" s="3" t="n">
        <v>32</v>
      </c>
      <c r="B42" s="3" t="s">
        <v>90</v>
      </c>
      <c r="C42" s="3" t="s">
        <v>91</v>
      </c>
      <c r="D42" s="3" t="s">
        <v>31</v>
      </c>
      <c r="E42" s="13" t="s">
        <v>25</v>
      </c>
      <c r="F42" s="3" t="n">
        <v>1</v>
      </c>
      <c r="G42" s="14" t="n">
        <v>320</v>
      </c>
      <c r="H42" s="15" t="n">
        <v>0.1</v>
      </c>
      <c r="I42" s="8" t="n">
        <v>32</v>
      </c>
      <c r="J42" s="13" t="s">
        <v>26</v>
      </c>
      <c r="K42" s="3" t="n">
        <v>12</v>
      </c>
      <c r="L42" s="8" t="n">
        <f aca="false">I42*K42</f>
        <v>384</v>
      </c>
      <c r="M42" s="17" t="s">
        <v>38</v>
      </c>
    </row>
    <row r="43" customFormat="false" ht="15" hidden="false" customHeight="false" outlineLevel="0" collapsed="false">
      <c r="A43" s="3" t="n">
        <v>33</v>
      </c>
      <c r="B43" s="3" t="s">
        <v>92</v>
      </c>
      <c r="C43" s="3" t="s">
        <v>93</v>
      </c>
      <c r="D43" s="3" t="s">
        <v>30</v>
      </c>
      <c r="E43" s="13" t="s">
        <v>25</v>
      </c>
      <c r="F43" s="3" t="n">
        <v>1</v>
      </c>
      <c r="G43" s="14" t="n">
        <v>265</v>
      </c>
      <c r="H43" s="15" t="n">
        <v>0.25</v>
      </c>
      <c r="I43" s="8" t="n">
        <v>66.25</v>
      </c>
      <c r="J43" s="13" t="s">
        <v>26</v>
      </c>
      <c r="K43" s="3" t="n">
        <v>0</v>
      </c>
      <c r="L43" s="8" t="n">
        <f aca="false">I43*K43</f>
        <v>0</v>
      </c>
      <c r="M43" s="16" t="s">
        <v>65</v>
      </c>
    </row>
    <row r="44" customFormat="false" ht="15" hidden="false" customHeight="false" outlineLevel="0" collapsed="false">
      <c r="A44" s="3" t="n">
        <v>34</v>
      </c>
      <c r="B44" s="3" t="s">
        <v>94</v>
      </c>
      <c r="C44" s="3" t="s">
        <v>95</v>
      </c>
      <c r="D44" s="3" t="s">
        <v>24</v>
      </c>
      <c r="E44" s="13" t="s">
        <v>25</v>
      </c>
      <c r="F44" s="3" t="n">
        <v>1</v>
      </c>
      <c r="G44" s="14" t="n">
        <v>200</v>
      </c>
      <c r="H44" s="15" t="n">
        <v>0.25</v>
      </c>
      <c r="I44" s="8" t="n">
        <v>50</v>
      </c>
      <c r="J44" s="13" t="s">
        <v>26</v>
      </c>
      <c r="K44" s="3" t="n">
        <v>0</v>
      </c>
      <c r="L44" s="8" t="n">
        <f aca="false">I44*K44</f>
        <v>0</v>
      </c>
      <c r="M44" s="16" t="s">
        <v>65</v>
      </c>
    </row>
    <row r="45" customFormat="false" ht="15" hidden="false" customHeight="false" outlineLevel="0" collapsed="false">
      <c r="A45" s="3" t="n">
        <v>35</v>
      </c>
      <c r="B45" s="3" t="s">
        <v>94</v>
      </c>
      <c r="C45" s="3" t="s">
        <v>95</v>
      </c>
      <c r="D45" s="3" t="s">
        <v>31</v>
      </c>
      <c r="E45" s="13" t="s">
        <v>32</v>
      </c>
      <c r="F45" s="3" t="n">
        <v>1</v>
      </c>
      <c r="G45" s="14" t="n">
        <v>100</v>
      </c>
      <c r="H45" s="15" t="n">
        <v>0.25</v>
      </c>
      <c r="I45" s="8" t="n">
        <v>25</v>
      </c>
      <c r="J45" s="13" t="s">
        <v>26</v>
      </c>
      <c r="K45" s="3" t="n">
        <v>0</v>
      </c>
      <c r="L45" s="8" t="n">
        <f aca="false">I45*K45</f>
        <v>0</v>
      </c>
      <c r="M45" s="16" t="s">
        <v>65</v>
      </c>
    </row>
    <row r="46" customFormat="false" ht="15" hidden="false" customHeight="false" outlineLevel="0" collapsed="false">
      <c r="A46" s="3" t="n">
        <v>36</v>
      </c>
      <c r="B46" s="3" t="s">
        <v>96</v>
      </c>
      <c r="C46" s="3" t="s">
        <v>97</v>
      </c>
      <c r="D46" s="3" t="s">
        <v>24</v>
      </c>
      <c r="E46" s="13" t="s">
        <v>25</v>
      </c>
      <c r="F46" s="3" t="n">
        <v>1</v>
      </c>
      <c r="G46" s="14" t="n">
        <v>300</v>
      </c>
      <c r="H46" s="15" t="n">
        <v>0.2</v>
      </c>
      <c r="I46" s="8" t="n">
        <v>60</v>
      </c>
      <c r="J46" s="13" t="s">
        <v>26</v>
      </c>
      <c r="K46" s="3" t="n">
        <v>0</v>
      </c>
      <c r="L46" s="8" t="n">
        <f aca="false">I46*K46</f>
        <v>0</v>
      </c>
      <c r="M46" s="16" t="s">
        <v>65</v>
      </c>
    </row>
    <row r="47" customFormat="false" ht="15" hidden="false" customHeight="false" outlineLevel="0" collapsed="false">
      <c r="A47" s="3" t="n">
        <v>37</v>
      </c>
      <c r="B47" s="3" t="s">
        <v>98</v>
      </c>
      <c r="C47" s="3" t="s">
        <v>99</v>
      </c>
      <c r="D47" s="3" t="s">
        <v>30</v>
      </c>
      <c r="E47" s="13" t="s">
        <v>25</v>
      </c>
      <c r="F47" s="3" t="n">
        <v>1</v>
      </c>
      <c r="G47" s="14" t="n">
        <v>200</v>
      </c>
      <c r="H47" s="15" t="n">
        <v>0.25</v>
      </c>
      <c r="I47" s="8" t="n">
        <v>50</v>
      </c>
      <c r="J47" s="13" t="s">
        <v>26</v>
      </c>
      <c r="K47" s="3" t="n">
        <v>0</v>
      </c>
      <c r="L47" s="8" t="n">
        <f aca="false">I47*K47</f>
        <v>0</v>
      </c>
      <c r="M47" s="16" t="s">
        <v>33</v>
      </c>
    </row>
    <row r="48" customFormat="false" ht="15" hidden="false" customHeight="false" outlineLevel="0" collapsed="false">
      <c r="A48" s="3" t="n">
        <v>38</v>
      </c>
      <c r="B48" s="3" t="s">
        <v>100</v>
      </c>
      <c r="C48" s="3" t="s">
        <v>101</v>
      </c>
      <c r="D48" s="3" t="s">
        <v>30</v>
      </c>
      <c r="E48" s="13" t="s">
        <v>25</v>
      </c>
      <c r="F48" s="3" t="n">
        <v>1</v>
      </c>
      <c r="G48" s="14" t="n">
        <v>200</v>
      </c>
      <c r="H48" s="15" t="n">
        <v>0.25</v>
      </c>
      <c r="I48" s="8" t="n">
        <v>50</v>
      </c>
      <c r="J48" s="13" t="s">
        <v>26</v>
      </c>
      <c r="K48" s="3" t="n">
        <v>0</v>
      </c>
      <c r="L48" s="8" t="n">
        <f aca="false">I48*K48</f>
        <v>0</v>
      </c>
      <c r="M48" s="16" t="s">
        <v>33</v>
      </c>
    </row>
    <row r="49" customFormat="false" ht="15" hidden="false" customHeight="false" outlineLevel="0" collapsed="false">
      <c r="A49" s="3" t="n">
        <v>39</v>
      </c>
      <c r="B49" s="3" t="s">
        <v>102</v>
      </c>
      <c r="C49" s="3" t="s">
        <v>103</v>
      </c>
      <c r="D49" s="3" t="s">
        <v>31</v>
      </c>
      <c r="E49" s="13" t="s">
        <v>25</v>
      </c>
      <c r="F49" s="3" t="n">
        <v>1</v>
      </c>
      <c r="G49" s="14" t="n">
        <v>150</v>
      </c>
      <c r="H49" s="15" t="n">
        <v>0.25</v>
      </c>
      <c r="I49" s="8" t="n">
        <v>37.5</v>
      </c>
      <c r="J49" s="13" t="s">
        <v>26</v>
      </c>
      <c r="K49" s="3" t="n">
        <v>0</v>
      </c>
      <c r="L49" s="8" t="n">
        <f aca="false">I49*K49</f>
        <v>0</v>
      </c>
      <c r="M49" s="16" t="s">
        <v>65</v>
      </c>
    </row>
    <row r="50" customFormat="false" ht="15" hidden="false" customHeight="false" outlineLevel="0" collapsed="false">
      <c r="A50" s="3" t="n">
        <v>40</v>
      </c>
      <c r="B50" s="3" t="s">
        <v>104</v>
      </c>
      <c r="C50" s="3" t="s">
        <v>105</v>
      </c>
      <c r="D50" s="3" t="s">
        <v>30</v>
      </c>
      <c r="E50" s="13" t="s">
        <v>25</v>
      </c>
      <c r="F50" s="3" t="n">
        <v>1</v>
      </c>
      <c r="G50" s="14" t="n">
        <v>270</v>
      </c>
      <c r="H50" s="15" t="n">
        <v>0.3</v>
      </c>
      <c r="I50" s="8" t="n">
        <v>81</v>
      </c>
      <c r="J50" s="13" t="s">
        <v>26</v>
      </c>
      <c r="K50" s="3" t="n">
        <v>12</v>
      </c>
      <c r="L50" s="8" t="n">
        <f aca="false">I50*K50</f>
        <v>972</v>
      </c>
      <c r="M50" s="17" t="s">
        <v>38</v>
      </c>
    </row>
    <row r="51" customFormat="false" ht="15" hidden="false" customHeight="false" outlineLevel="0" collapsed="false">
      <c r="A51" s="3" t="n">
        <v>41</v>
      </c>
      <c r="B51" s="3" t="s">
        <v>106</v>
      </c>
      <c r="C51" s="3" t="s">
        <v>107</v>
      </c>
      <c r="D51" s="3" t="s">
        <v>24</v>
      </c>
      <c r="E51" s="13" t="s">
        <v>25</v>
      </c>
      <c r="F51" s="3" t="n">
        <v>1</v>
      </c>
      <c r="G51" s="14" t="n">
        <v>400</v>
      </c>
      <c r="H51" s="15" t="n">
        <v>0.2</v>
      </c>
      <c r="I51" s="8" t="n">
        <v>80</v>
      </c>
      <c r="J51" s="13" t="s">
        <v>26</v>
      </c>
      <c r="K51" s="3" t="n">
        <v>0</v>
      </c>
      <c r="L51" s="8" t="n">
        <f aca="false">I51*K51</f>
        <v>0</v>
      </c>
      <c r="M51" s="16" t="s">
        <v>33</v>
      </c>
    </row>
    <row r="52" customFormat="false" ht="15" hidden="false" customHeight="false" outlineLevel="0" collapsed="false">
      <c r="A52" s="3" t="n">
        <v>42</v>
      </c>
      <c r="B52" s="3" t="s">
        <v>108</v>
      </c>
      <c r="C52" s="3" t="s">
        <v>109</v>
      </c>
      <c r="D52" s="3" t="s">
        <v>24</v>
      </c>
      <c r="E52" s="13" t="s">
        <v>25</v>
      </c>
      <c r="F52" s="3" t="n">
        <v>1</v>
      </c>
      <c r="G52" s="14" t="n">
        <v>200</v>
      </c>
      <c r="H52" s="15" t="n">
        <v>0.25</v>
      </c>
      <c r="I52" s="8" t="n">
        <v>50</v>
      </c>
      <c r="J52" s="13" t="s">
        <v>26</v>
      </c>
      <c r="K52" s="3" t="n">
        <v>0</v>
      </c>
      <c r="L52" s="8" t="n">
        <f aca="false">I52*K52</f>
        <v>0</v>
      </c>
      <c r="M52" s="16" t="s">
        <v>33</v>
      </c>
    </row>
    <row r="53" customFormat="false" ht="15" hidden="false" customHeight="false" outlineLevel="0" collapsed="false">
      <c r="A53" s="3" t="n">
        <v>43</v>
      </c>
      <c r="B53" s="3" t="s">
        <v>59</v>
      </c>
      <c r="C53" s="3" t="s">
        <v>60</v>
      </c>
      <c r="D53" s="3" t="s">
        <v>31</v>
      </c>
      <c r="E53" s="13" t="s">
        <v>32</v>
      </c>
      <c r="F53" s="3" t="n">
        <v>1</v>
      </c>
      <c r="G53" s="14" t="n">
        <v>50</v>
      </c>
      <c r="H53" s="15" t="n">
        <v>0.3</v>
      </c>
      <c r="I53" s="8" t="n">
        <v>15</v>
      </c>
      <c r="J53" s="13" t="s">
        <v>26</v>
      </c>
      <c r="K53" s="3" t="n">
        <v>12</v>
      </c>
      <c r="L53" s="8" t="n">
        <f aca="false">I53*K53</f>
        <v>180</v>
      </c>
      <c r="M53" s="17" t="s">
        <v>38</v>
      </c>
    </row>
    <row r="54" customFormat="false" ht="15" hidden="false" customHeight="false" outlineLevel="0" collapsed="false">
      <c r="A54" s="3" t="n">
        <v>44</v>
      </c>
      <c r="B54" s="3" t="s">
        <v>72</v>
      </c>
      <c r="C54" s="3" t="s">
        <v>73</v>
      </c>
      <c r="D54" s="3" t="s">
        <v>31</v>
      </c>
      <c r="E54" s="13" t="s">
        <v>32</v>
      </c>
      <c r="F54" s="3" t="n">
        <v>1</v>
      </c>
      <c r="G54" s="14" t="n">
        <v>2100</v>
      </c>
      <c r="H54" s="15" t="n">
        <v>0.25</v>
      </c>
      <c r="I54" s="8" t="n">
        <v>525</v>
      </c>
      <c r="J54" s="13" t="s">
        <v>26</v>
      </c>
      <c r="K54" s="3" t="n">
        <v>12</v>
      </c>
      <c r="L54" s="8" t="n">
        <f aca="false">I54*K54</f>
        <v>6300</v>
      </c>
      <c r="M54" s="17" t="s">
        <v>38</v>
      </c>
    </row>
    <row r="55" customFormat="false" ht="15" hidden="false" customHeight="false" outlineLevel="0" collapsed="false">
      <c r="A55" s="3" t="n">
        <v>45</v>
      </c>
      <c r="B55" s="3" t="s">
        <v>110</v>
      </c>
      <c r="C55" s="3" t="s">
        <v>111</v>
      </c>
      <c r="D55" s="3" t="s">
        <v>24</v>
      </c>
      <c r="E55" s="13" t="s">
        <v>25</v>
      </c>
      <c r="F55" s="3" t="n">
        <v>1</v>
      </c>
      <c r="G55" s="14" t="n">
        <v>400</v>
      </c>
      <c r="H55" s="15" t="n">
        <v>0.3</v>
      </c>
      <c r="I55" s="8" t="n">
        <v>120</v>
      </c>
      <c r="J55" s="13" t="s">
        <v>26</v>
      </c>
      <c r="K55" s="3" t="n">
        <v>12</v>
      </c>
      <c r="L55" s="8" t="n">
        <f aca="false">I55*K55</f>
        <v>1440</v>
      </c>
      <c r="M55" s="17" t="s">
        <v>38</v>
      </c>
    </row>
    <row r="56" customFormat="false" ht="15" hidden="false" customHeight="false" outlineLevel="0" collapsed="false">
      <c r="A56" s="3" t="n">
        <v>46</v>
      </c>
      <c r="B56" s="3" t="s">
        <v>112</v>
      </c>
      <c r="C56" s="3" t="s">
        <v>113</v>
      </c>
      <c r="D56" s="3" t="s">
        <v>30</v>
      </c>
      <c r="E56" s="13" t="s">
        <v>25</v>
      </c>
      <c r="F56" s="3" t="n">
        <v>1</v>
      </c>
      <c r="G56" s="14" t="n">
        <v>200</v>
      </c>
      <c r="H56" s="15" t="n">
        <v>0.25</v>
      </c>
      <c r="I56" s="8" t="n">
        <v>50</v>
      </c>
      <c r="J56" s="13" t="s">
        <v>26</v>
      </c>
      <c r="K56" s="3" t="n">
        <v>0</v>
      </c>
      <c r="L56" s="8" t="n">
        <f aca="false">I56*K56</f>
        <v>0</v>
      </c>
      <c r="M56" s="16" t="s">
        <v>27</v>
      </c>
    </row>
    <row r="57" customFormat="false" ht="15" hidden="false" customHeight="false" outlineLevel="0" collapsed="false">
      <c r="A57" s="3" t="n">
        <v>47</v>
      </c>
      <c r="B57" s="3" t="s">
        <v>114</v>
      </c>
      <c r="C57" s="3" t="s">
        <v>115</v>
      </c>
      <c r="D57" s="3" t="s">
        <v>30</v>
      </c>
      <c r="E57" s="13" t="s">
        <v>25</v>
      </c>
      <c r="F57" s="3" t="n">
        <v>1</v>
      </c>
      <c r="G57" s="14" t="n">
        <v>320</v>
      </c>
      <c r="H57" s="15" t="n">
        <v>0.3</v>
      </c>
      <c r="I57" s="8" t="n">
        <v>96</v>
      </c>
      <c r="J57" s="13" t="s">
        <v>26</v>
      </c>
      <c r="K57" s="3" t="n">
        <v>12</v>
      </c>
      <c r="L57" s="8" t="n">
        <f aca="false">I57*K57</f>
        <v>1152</v>
      </c>
      <c r="M57" s="17" t="s">
        <v>38</v>
      </c>
    </row>
    <row r="58" customFormat="false" ht="15" hidden="false" customHeight="false" outlineLevel="0" collapsed="false">
      <c r="A58" s="3" t="n">
        <v>48</v>
      </c>
      <c r="B58" s="3" t="s">
        <v>116</v>
      </c>
      <c r="C58" s="3" t="s">
        <v>117</v>
      </c>
      <c r="D58" s="3" t="s">
        <v>24</v>
      </c>
      <c r="E58" s="13" t="s">
        <v>25</v>
      </c>
      <c r="F58" s="3" t="n">
        <v>1</v>
      </c>
      <c r="G58" s="14" t="n">
        <v>200</v>
      </c>
      <c r="H58" s="15" t="n">
        <v>0.25</v>
      </c>
      <c r="I58" s="8" t="n">
        <v>50</v>
      </c>
      <c r="J58" s="13" t="s">
        <v>26</v>
      </c>
      <c r="K58" s="3" t="n">
        <v>0</v>
      </c>
      <c r="L58" s="8" t="n">
        <f aca="false">I58*K58</f>
        <v>0</v>
      </c>
      <c r="M58" s="16" t="s">
        <v>65</v>
      </c>
    </row>
    <row r="59" customFormat="false" ht="15" hidden="false" customHeight="false" outlineLevel="0" collapsed="false">
      <c r="A59" s="3" t="n">
        <v>49</v>
      </c>
      <c r="B59" s="3" t="s">
        <v>118</v>
      </c>
      <c r="C59" s="3" t="s">
        <v>119</v>
      </c>
      <c r="D59" s="3" t="s">
        <v>30</v>
      </c>
      <c r="E59" s="13" t="s">
        <v>25</v>
      </c>
      <c r="F59" s="3" t="n">
        <v>1</v>
      </c>
      <c r="G59" s="14" t="n">
        <v>300</v>
      </c>
      <c r="H59" s="15" t="n">
        <v>0.3</v>
      </c>
      <c r="I59" s="8" t="n">
        <v>90</v>
      </c>
      <c r="J59" s="13" t="s">
        <v>26</v>
      </c>
      <c r="K59" s="3" t="n">
        <v>12</v>
      </c>
      <c r="L59" s="8" t="n">
        <f aca="false">I59*K59</f>
        <v>1080</v>
      </c>
      <c r="M59" s="17" t="s">
        <v>38</v>
      </c>
    </row>
    <row r="60" customFormat="false" ht="15" hidden="false" customHeight="false" outlineLevel="0" collapsed="false">
      <c r="A60" s="3" t="n">
        <v>50</v>
      </c>
      <c r="B60" s="3" t="s">
        <v>120</v>
      </c>
      <c r="C60" s="3" t="s">
        <v>121</v>
      </c>
      <c r="D60" s="3" t="s">
        <v>31</v>
      </c>
      <c r="E60" s="13" t="s">
        <v>25</v>
      </c>
      <c r="F60" s="3" t="n">
        <v>1</v>
      </c>
      <c r="G60" s="14" t="n">
        <v>200</v>
      </c>
      <c r="H60" s="15" t="n">
        <v>0.2</v>
      </c>
      <c r="I60" s="8" t="n">
        <v>40</v>
      </c>
      <c r="J60" s="13" t="s">
        <v>26</v>
      </c>
      <c r="K60" s="3" t="n">
        <v>0</v>
      </c>
      <c r="L60" s="8" t="n">
        <f aca="false">I60*K60</f>
        <v>0</v>
      </c>
      <c r="M60" s="16" t="s">
        <v>27</v>
      </c>
    </row>
    <row r="61" customFormat="false" ht="15" hidden="false" customHeight="false" outlineLevel="0" collapsed="false">
      <c r="A61" s="3" t="n">
        <v>51</v>
      </c>
      <c r="B61" s="3" t="s">
        <v>122</v>
      </c>
      <c r="C61" s="3" t="s">
        <v>123</v>
      </c>
      <c r="D61" s="3" t="s">
        <v>31</v>
      </c>
      <c r="E61" s="13" t="s">
        <v>25</v>
      </c>
      <c r="F61" s="3" t="n">
        <v>1</v>
      </c>
      <c r="G61" s="14" t="n">
        <v>200</v>
      </c>
      <c r="H61" s="15" t="n">
        <v>0.25</v>
      </c>
      <c r="I61" s="8" t="n">
        <v>50</v>
      </c>
      <c r="J61" s="13" t="s">
        <v>26</v>
      </c>
      <c r="K61" s="3" t="n">
        <v>12</v>
      </c>
      <c r="L61" s="8" t="n">
        <f aca="false">I61*K61</f>
        <v>600</v>
      </c>
      <c r="M61" s="17" t="s">
        <v>38</v>
      </c>
    </row>
    <row r="62" customFormat="false" ht="15" hidden="false" customHeight="false" outlineLevel="0" collapsed="false">
      <c r="A62" s="3" t="n">
        <v>52</v>
      </c>
      <c r="B62" s="3" t="s">
        <v>124</v>
      </c>
      <c r="C62" s="3" t="s">
        <v>125</v>
      </c>
      <c r="D62" s="3" t="s">
        <v>30</v>
      </c>
      <c r="E62" s="13" t="s">
        <v>25</v>
      </c>
      <c r="F62" s="3" t="n">
        <v>1</v>
      </c>
      <c r="G62" s="14" t="n">
        <v>300</v>
      </c>
      <c r="H62" s="15" t="n">
        <v>0.25</v>
      </c>
      <c r="I62" s="8" t="n">
        <v>75</v>
      </c>
      <c r="J62" s="13" t="s">
        <v>26</v>
      </c>
      <c r="K62" s="3" t="n">
        <v>12</v>
      </c>
      <c r="L62" s="8" t="n">
        <f aca="false">I62*K62</f>
        <v>900</v>
      </c>
      <c r="M62" s="17" t="s">
        <v>38</v>
      </c>
    </row>
  </sheetData>
  <autoFilter ref="A10:M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2026-10-18T14:41:58Z</dcterms:created>
  <dc:creator>openpyxl</dc:creator>
  <dc:description/>
  <dc:language>en-US</dc:language>
  <cp:lastModifiedBy/>
  <dcterms:modified xsi:type="dcterms:W3CDTF">2026-10-18T14:41:58Z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