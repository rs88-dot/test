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definedNames>
    <definedName function="false" hidden="true" localSheetId="0" name="_xlnm._FilterDatabase" vbProcedure="false">10月明細!$A$10:$M$13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<sst xmlns="http://schemas.openxmlformats.org/spreadsheetml/2006/main" count="41" uniqueCount="33">
  <si>
    <r>
      <rPr>
        <b val="true"/>
        <sz val="13"/>
        <rFont val="WenQuanYi Zen Hei"/>
        <family val="2"/>
      </rPr>
      <t xml:space="preserve">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</si>
  <si>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</si>
  <si>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t xml:space="preserve">推薦者名</t>
  </si>
  <si>
    <t xml:space="preserve">Hirata, Yuya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</si>
  <si>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</si>
  <si>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件数</t>
  </si>
  <si>
    <t xml:space="preserve">手数料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</si>
  <si>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</si>
  <si>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今回お支払額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</si>
  <si>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回お支払い（担当者変更の契約は弊社担当の残り月数分）。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年目以降は平準（毎月）。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</si>
  <si>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</si>
  <si>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</si>
  <si>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</si>
  <si>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</si>
  <si>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</si>
  <si>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</si>
  <si>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</si>
  <si>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</si>
  <si>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</si>
  <si>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</si>
  <si>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</si>
  <si>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備考</t>
  </si>
  <si>
    <t xml:space="preserve">T25W059200</t>
  </si>
  <si>
    <t xml:space="preserve">Yusaku Kanai</t>
  </si>
  <si>
    <t xml:space="preserve">EVO25</t>
  </si>
  <si>
    <t xml:space="preserve">基本プラン</t>
  </si>
  <si>
    <t xml:space="preserve">みなし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</si>
  <si>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</si>
  <si>
    <t xml:space="preserve">T25W058069</t>
  </si>
  <si>
    <t xml:space="preserve">Kanta Shimizu</t>
  </si>
  <si>
    <r>
      <rPr>
        <sz val="10"/>
        <rFont val="Arial"/>
        <family val="0"/>
        <charset val="1"/>
      </rPr>
      <t xml:space="preserve">2026.8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</si>
  <si>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T25W058318</t>
  </si>
  <si>
    <t xml:space="preserve">Kazumori Kakiuchi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</si>
</sst>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General"/>
    <numFmt numFmtId="167" formatCode="#,##0.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7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 t="n">
        <v>1289</v>
      </c>
    </row>
    <row r="4" customFormat="false" ht="15" hidden="false" customHeight="false" outlineLevel="0" collapsed="false">
      <c r="B4" s="2" t="s">
        <v>2</v>
      </c>
      <c r="C4" s="3" t="s">
        <v>3</v>
      </c>
    </row>
    <row r="5" customFormat="false" ht="15" hidden="false" customHeight="false" outlineLevel="0" collapsed="false">
      <c r="B5" s="4" t="s">
        <v>4</v>
      </c>
      <c r="C5" s="5" t="n">
        <f aca="false">SUM(L11:L13)</f>
        <v>1260</v>
      </c>
      <c r="E5" s="6" t="s">
        <v>5</v>
      </c>
      <c r="F5" s="7" t="n">
        <f aca="false">COUNTA(B11:B13)</f>
        <v>3</v>
      </c>
    </row>
    <row r="6" customFormat="false" ht="15" hidden="false" customHeight="false" outlineLevel="0" collapsed="false">
      <c r="B6" s="2" t="s">
        <v>6</v>
      </c>
      <c r="C6" s="8" t="n">
        <v>5</v>
      </c>
      <c r="E6" s="9" t="s">
        <v>7</v>
      </c>
    </row>
    <row r="7" customFormat="false" ht="15" hidden="false" customHeight="false" outlineLevel="0" collapsed="false">
      <c r="B7" s="2" t="s">
        <v>8</v>
      </c>
      <c r="C7" s="10" t="n">
        <f aca="false">IF(INT(C5)&lt;=C6,0,INT(C5)-C6)</f>
        <v>1255</v>
      </c>
      <c r="E7" s="9" t="s">
        <v>9</v>
      </c>
    </row>
    <row r="10" customFormat="false" ht="39.55" hidden="false" customHeight="false" outlineLevel="0" collapsed="false">
      <c r="A10" s="11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8</v>
      </c>
      <c r="M10" s="12" t="s">
        <v>21</v>
      </c>
    </row>
    <row r="11" customFormat="false" ht="15" hidden="false" customHeight="false" outlineLevel="0" collapsed="false">
      <c r="A11" s="3" t="n">
        <v>1</v>
      </c>
      <c r="B11" s="3" t="s">
        <v>22</v>
      </c>
      <c r="C11" s="3" t="s">
        <v>23</v>
      </c>
      <c r="D11" s="3" t="s">
        <v>24</v>
      </c>
      <c r="E11" s="13" t="s">
        <v>25</v>
      </c>
      <c r="F11" s="3" t="n">
        <v>1</v>
      </c>
      <c r="G11" s="14" t="n">
        <v>300</v>
      </c>
      <c r="H11" s="15" t="n">
        <v>0.35</v>
      </c>
      <c r="I11" s="8" t="n">
        <v>105</v>
      </c>
      <c r="J11" s="13" t="s">
        <v>26</v>
      </c>
      <c r="K11" s="3" t="n">
        <v>12</v>
      </c>
      <c r="L11" s="8" t="n">
        <f aca="false">I11*K11</f>
        <v>1260</v>
      </c>
      <c r="M11" s="16" t="s">
        <v>27</v>
      </c>
    </row>
    <row r="12" customFormat="false" ht="15" hidden="false" customHeight="false" outlineLevel="0" collapsed="false">
      <c r="A12" s="3" t="n">
        <v>2</v>
      </c>
      <c r="B12" s="3" t="s">
        <v>28</v>
      </c>
      <c r="C12" s="3" t="s">
        <v>29</v>
      </c>
      <c r="D12" s="3" t="s">
        <v>24</v>
      </c>
      <c r="E12" s="13" t="s">
        <v>25</v>
      </c>
      <c r="F12" s="3" t="n">
        <v>1</v>
      </c>
      <c r="G12" s="14" t="n">
        <v>200</v>
      </c>
      <c r="H12" s="15" t="n">
        <v>0.35</v>
      </c>
      <c r="I12" s="8" t="n">
        <v>70</v>
      </c>
      <c r="J12" s="13" t="s">
        <v>26</v>
      </c>
      <c r="K12" s="3" t="n">
        <v>0</v>
      </c>
      <c r="L12" s="8" t="n">
        <f aca="false">I12*K12</f>
        <v>0</v>
      </c>
      <c r="M12" s="17" t="s">
        <v>30</v>
      </c>
    </row>
    <row r="13" customFormat="false" ht="15" hidden="false" customHeight="false" outlineLevel="0" collapsed="false">
      <c r="A13" s="3" t="n">
        <v>3</v>
      </c>
      <c r="B13" s="3" t="s">
        <v>31</v>
      </c>
      <c r="C13" s="3" t="s">
        <v>32</v>
      </c>
      <c r="D13" s="3" t="s">
        <v>24</v>
      </c>
      <c r="E13" s="13" t="s">
        <v>25</v>
      </c>
      <c r="F13" s="3" t="n">
        <v>1</v>
      </c>
      <c r="G13" s="14" t="n">
        <v>200</v>
      </c>
      <c r="H13" s="15" t="n">
        <v>0.35</v>
      </c>
      <c r="I13" s="8" t="n">
        <v>70</v>
      </c>
      <c r="J13" s="13" t="s">
        <v>26</v>
      </c>
      <c r="K13" s="3" t="n">
        <v>0</v>
      </c>
      <c r="L13" s="8" t="n">
        <f aca="false">I13*K13</f>
        <v>0</v>
      </c>
      <c r="M13" s="17" t="s">
        <v>30</v>
      </c>
    </row>
  </sheetData>
  <autoFilter ref="A10:M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2026-10-19T12:14:02Z</dcterms:created>
  <dc:creator>openpyxl</dc:creator>
  <dc:description/>
  <dc:language>en-US</dc:language>
  <cp:lastModifiedBy/>
  <dcterms:modified xsi:type="dcterms:W3CDTF">2026-10-19T12:14:02Z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