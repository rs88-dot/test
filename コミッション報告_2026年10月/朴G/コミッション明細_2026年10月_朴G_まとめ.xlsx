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まとめ" sheetId="1" state="visible" r:id="rId3"/>
    <sheet name="明細" sheetId="2" state="visible" r:id="rId4"/>
  </sheets>
  <definedNames>
    <definedName function="false" hidden="true" localSheetId="1" name="_xlnm._FilterDatabase" vbProcedure="false">明細!$A$3:$O$112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<sst xmlns="http://schemas.openxmlformats.org/spreadsheetml/2006/main" count="798" uniqueCount="150">
  <si>
    <r>
      <rPr>
        <b val="true"/>
        <sz val="13"/>
        <rFont val="WenQuanYi Zen Hei"/>
        <family val="2"/>
      </rPr>
      <t xml:space="preserve">朴</t>
    </r>
    <r>
      <rPr>
        <b val="true"/>
        <sz val="13"/>
        <rFont val="Arial"/>
        <family val="0"/>
        <charset val="1"/>
      </rPr>
      <t xml:space="preserve">G</t>
    </r>
    <r>
      <rPr>
        <b val="true"/>
        <sz val="13"/>
        <rFont val="WenQuanYi Zen Hei"/>
        <family val="2"/>
      </rPr>
      <t xml:space="preserve">　コミッションまとめ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</si>
  <si>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</si>
  <si>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</si>
  <si>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件数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</si>
  <si>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</si>
  <si>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手数料</t>
  </si>
  <si>
    <t xml:space="preserve">今回お支払額</t>
  </si>
  <si>
    <t xml:space="preserve">Finterest Co., Ltd.</t>
  </si>
  <si>
    <t xml:space="preserve">Hirata, Yuya</t>
  </si>
  <si>
    <t xml:space="preserve">Koroki, Ayako</t>
  </si>
  <si>
    <t xml:space="preserve">Ishikawa, Yuka</t>
  </si>
  <si>
    <t xml:space="preserve">Kawaura, Fumihiko</t>
  </si>
  <si>
    <t xml:space="preserve">Kotsuji, Sho</t>
  </si>
  <si>
    <t xml:space="preserve">Hidaka, Shingo</t>
  </si>
  <si>
    <t xml:space="preserve">Ota, Masato</t>
  </si>
  <si>
    <t xml:space="preserve">Ota, Yukiya</t>
  </si>
  <si>
    <t xml:space="preserve">Makishi, Yasuki</t>
  </si>
  <si>
    <t xml:space="preserve">Masuda, Mitsuru</t>
  </si>
  <si>
    <t xml:space="preserve">Yon o Pak</t>
  </si>
  <si>
    <t xml:space="preserve">合計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</si>
  <si>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以下の場合は手数料なしで次回繰越。各推薦者の契約明細は「明細」シート。</t>
    </r>
  </si>
  <si>
    <r>
      <rPr>
        <b val="true"/>
        <sz val="13"/>
        <rFont val="WenQuanYi Zen Hei"/>
        <family val="2"/>
      </rPr>
      <t xml:space="preserve">朴</t>
    </r>
    <r>
      <rPr>
        <b val="true"/>
        <sz val="13"/>
        <rFont val="Arial"/>
        <family val="0"/>
        <charset val="1"/>
      </rPr>
      <t xml:space="preserve">G</t>
    </r>
    <r>
      <rPr>
        <b val="true"/>
        <sz val="13"/>
        <rFont val="WenQuanYi Zen Hei"/>
        <family val="2"/>
      </rPr>
      <t xml:space="preserve">　契約別明細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</si>
  <si>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</si>
  <si>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</si>
  <si>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</si>
  <si>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</si>
  <si>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</si>
  <si>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</si>
  <si>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</si>
  <si>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</si>
  <si>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</si>
  <si>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</si>
  <si>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</si>
  <si>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</si>
  <si>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</si>
  <si>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</si>
  <si>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</si>
  <si>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</si>
  <si>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</si>
  <si>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</si>
  <si>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T20W043976</t>
  </si>
  <si>
    <t xml:space="preserve">Toyohiro Sugai</t>
  </si>
  <si>
    <t xml:space="preserve">SPX20-X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</si>
  <si>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</si>
  <si>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</si>
  <si>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</si>
  <si>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T20W044170</t>
  </si>
  <si>
    <t xml:space="preserve">Hikari Sakurai</t>
  </si>
  <si>
    <t xml:space="preserve">T15W082140</t>
  </si>
  <si>
    <t xml:space="preserve">Takuya Otsuka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</si>
  <si>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</si>
  <si>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T20W044543</t>
  </si>
  <si>
    <t xml:space="preserve">Nobuto Otani</t>
  </si>
  <si>
    <t xml:space="preserve">T20W044577</t>
  </si>
  <si>
    <t xml:space="preserve">Nagisa Sakamoto</t>
  </si>
  <si>
    <t xml:space="preserve">T25W059182</t>
  </si>
  <si>
    <t xml:space="preserve">Riho Isaka</t>
  </si>
  <si>
    <t xml:space="preserve">T25W058356</t>
  </si>
  <si>
    <t xml:space="preserve">Kokona Nakamoto</t>
  </si>
  <si>
    <t xml:space="preserve">T25W059146</t>
  </si>
  <si>
    <t xml:space="preserve">Kazuya Miyauchi</t>
  </si>
  <si>
    <t xml:space="preserve">T15W081362</t>
  </si>
  <si>
    <t xml:space="preserve">Masashi Tomioka</t>
  </si>
  <si>
    <t xml:space="preserve">T25W058117</t>
  </si>
  <si>
    <t xml:space="preserve">Daiki Bessho</t>
  </si>
  <si>
    <t xml:space="preserve">T25W058680</t>
  </si>
  <si>
    <t xml:space="preserve">Hitoshi Ogaki</t>
  </si>
  <si>
    <t xml:space="preserve">T20W045002</t>
  </si>
  <si>
    <t xml:space="preserve">Akitoshi Kanemura</t>
  </si>
  <si>
    <t xml:space="preserve">T25W058711</t>
  </si>
  <si>
    <t xml:space="preserve">Natsuki Aki</t>
  </si>
  <si>
    <t xml:space="preserve">T15W082507</t>
  </si>
  <si>
    <t xml:space="preserve">Miyako Motomura</t>
  </si>
  <si>
    <t xml:space="preserve">T25W059180</t>
  </si>
  <si>
    <t xml:space="preserve">Shun Tanaka</t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</si>
  <si>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</si>
  <si>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</si>
  <si>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</si>
  <si>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T25W059200</t>
  </si>
  <si>
    <t xml:space="preserve">Yusaku Kanai</t>
  </si>
  <si>
    <t xml:space="preserve">T25W059382</t>
  </si>
  <si>
    <t xml:space="preserve">Eiri Matsumoto</t>
  </si>
  <si>
    <t xml:space="preserve">T15W082009</t>
  </si>
  <si>
    <t xml:space="preserve">Reiko Mizutani</t>
  </si>
  <si>
    <t xml:space="preserve">T15W082723</t>
  </si>
  <si>
    <t xml:space="preserve">Yuichi Sugiyama</t>
  </si>
  <si>
    <t xml:space="preserve">T20W044725</t>
  </si>
  <si>
    <t xml:space="preserve">Takaki Sakamoto</t>
  </si>
  <si>
    <t xml:space="preserve">T20W045003</t>
  </si>
  <si>
    <t xml:space="preserve">Ayano Fukuda</t>
  </si>
  <si>
    <t xml:space="preserve">T25W058069</t>
  </si>
  <si>
    <t xml:space="preserve">Kanta Shimizu</t>
  </si>
  <si>
    <t xml:space="preserve">T25W058246</t>
  </si>
  <si>
    <t xml:space="preserve">Noe Ishigaki</t>
  </si>
  <si>
    <t xml:space="preserve">T25W058278</t>
  </si>
  <si>
    <t xml:space="preserve">Saki Goto</t>
  </si>
  <si>
    <t xml:space="preserve">T15W081183</t>
  </si>
  <si>
    <t xml:space="preserve">Mutsumi Makishi</t>
  </si>
  <si>
    <t xml:space="preserve">T20W044682</t>
  </si>
  <si>
    <t xml:space="preserve">Takahiro Shiotani</t>
  </si>
  <si>
    <t xml:space="preserve">T25W058318</t>
  </si>
  <si>
    <t xml:space="preserve">Kazumori Kakiuchi</t>
  </si>
  <si>
    <t xml:space="preserve">T25W059423</t>
  </si>
  <si>
    <t xml:space="preserve">Mei Inoue</t>
  </si>
  <si>
    <t xml:space="preserve">T20W044100</t>
  </si>
  <si>
    <t xml:space="preserve">Honoka Minami</t>
  </si>
  <si>
    <t xml:space="preserve">T15W080996</t>
  </si>
  <si>
    <t xml:space="preserve">Ryoma Nakamura</t>
  </si>
  <si>
    <t xml:space="preserve">T15W081148</t>
  </si>
  <si>
    <t xml:space="preserve">Aya Imaoka</t>
  </si>
  <si>
    <t xml:space="preserve">T20W044683</t>
  </si>
  <si>
    <t xml:space="preserve">Syuya Maeda</t>
  </si>
  <si>
    <t xml:space="preserve">T20W044761</t>
  </si>
  <si>
    <t xml:space="preserve">Mayu Matsumoto</t>
  </si>
  <si>
    <t xml:space="preserve">T25W057561</t>
  </si>
  <si>
    <t xml:space="preserve">Teruaki Yamaguchi</t>
  </si>
  <si>
    <t xml:space="preserve">T20W045001</t>
  </si>
  <si>
    <t xml:space="preserve">Rino Ogawa</t>
  </si>
  <si>
    <t xml:space="preserve">T15W082209</t>
  </si>
  <si>
    <t xml:space="preserve">Masako Sasaki</t>
  </si>
  <si>
    <t xml:space="preserve">T15W082267</t>
  </si>
  <si>
    <t xml:space="preserve">Sae Tanaka</t>
  </si>
  <si>
    <t xml:space="preserve">T15W082852</t>
  </si>
  <si>
    <t xml:space="preserve">Seiya Nomura</t>
  </si>
  <si>
    <t xml:space="preserve">T20W044436</t>
  </si>
  <si>
    <t xml:space="preserve">Yuzuki Tomita</t>
  </si>
  <si>
    <t xml:space="preserve">T20W045143</t>
  </si>
  <si>
    <t xml:space="preserve">Suzuha Nishitani</t>
  </si>
  <si>
    <t xml:space="preserve">T15W081146</t>
  </si>
  <si>
    <t xml:space="preserve">Asahi Ota</t>
  </si>
  <si>
    <t xml:space="preserve">T20W045151</t>
  </si>
  <si>
    <t xml:space="preserve">Rikuto Hirata</t>
  </si>
  <si>
    <t xml:space="preserve">T25W058461</t>
  </si>
  <si>
    <t xml:space="preserve">Mika Kamamoto</t>
  </si>
  <si>
    <t xml:space="preserve">T25W059123</t>
  </si>
  <si>
    <t xml:space="preserve">Yasuhiro Onoe</t>
  </si>
  <si>
    <t xml:space="preserve">T20W045083</t>
  </si>
  <si>
    <t xml:space="preserve">Jihae Yang</t>
  </si>
  <si>
    <t xml:space="preserve">T15W081546</t>
  </si>
  <si>
    <t xml:space="preserve">Yudai Konishi</t>
  </si>
  <si>
    <t xml:space="preserve">T20W044480</t>
  </si>
  <si>
    <t xml:space="preserve">Taeil Lee</t>
  </si>
  <si>
    <t xml:space="preserve">T15W082100</t>
  </si>
  <si>
    <t xml:space="preserve">Kyohei Yamamoto</t>
  </si>
  <si>
    <t xml:space="preserve">T15W082662</t>
  </si>
  <si>
    <t xml:space="preserve">Yuki Morioka</t>
  </si>
  <si>
    <t xml:space="preserve">T20W044625</t>
  </si>
  <si>
    <t xml:space="preserve">Kota Matsumoto</t>
  </si>
  <si>
    <t xml:space="preserve">T15W065073</t>
  </si>
  <si>
    <t xml:space="preserve">Yuki Takaoka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</si>
</sst>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4" t="n">
        <v>1239</v>
      </c>
      <c r="B4" s="4" t="s">
        <v>7</v>
      </c>
      <c r="C4" s="4" t="n">
        <f aca="false">COUNTIF(明細!$A$4:$A$112,A4)</f>
        <v>52</v>
      </c>
      <c r="D4" s="5" t="n">
        <f aca="false">SUMIF(明細!$A$4:$A$112,A4,明細!$N$4:$N$112)</f>
        <v>23442</v>
      </c>
      <c r="E4" s="5" t="n">
        <v>5</v>
      </c>
      <c r="F4" s="5" t="n">
        <f aca="false">IF(INT(D4)&lt;=E4,0,INT(D4)-E4)</f>
        <v>23437</v>
      </c>
    </row>
    <row r="5" customFormat="false" ht="15" hidden="false" customHeight="false" outlineLevel="0" collapsed="false">
      <c r="A5" s="4" t="n">
        <v>1289</v>
      </c>
      <c r="B5" s="4" t="s">
        <v>8</v>
      </c>
      <c r="C5" s="4" t="n">
        <f aca="false">COUNTIF(明細!$A$4:$A$112,A5)</f>
        <v>3</v>
      </c>
      <c r="D5" s="5" t="n">
        <f aca="false">SUMIF(明細!$A$4:$A$112,A5,明細!$N$4:$N$112)</f>
        <v>1260</v>
      </c>
      <c r="E5" s="5" t="n">
        <v>5</v>
      </c>
      <c r="F5" s="5" t="n">
        <f aca="false">IF(INT(D5)&lt;=E5,0,INT(D5)-E5)</f>
        <v>1255</v>
      </c>
    </row>
    <row r="6" customFormat="false" ht="15" hidden="false" customHeight="false" outlineLevel="0" collapsed="false">
      <c r="A6" s="4" t="n">
        <v>1460</v>
      </c>
      <c r="B6" s="4" t="s">
        <v>9</v>
      </c>
      <c r="C6" s="4" t="n">
        <f aca="false">COUNTIF(明細!$A$4:$A$112,A6)</f>
        <v>2</v>
      </c>
      <c r="D6" s="5" t="n">
        <f aca="false">SUMIF(明細!$A$4:$A$112,A6,明細!$N$4:$N$112)</f>
        <v>960</v>
      </c>
      <c r="E6" s="5" t="n">
        <v>5</v>
      </c>
      <c r="F6" s="5" t="n">
        <f aca="false">IF(INT(D6)&lt;=E6,0,INT(D6)-E6)</f>
        <v>955</v>
      </c>
    </row>
    <row r="7" customFormat="false" ht="15" hidden="false" customHeight="false" outlineLevel="0" collapsed="false">
      <c r="A7" s="4" t="n">
        <v>1526</v>
      </c>
      <c r="B7" s="4" t="s">
        <v>10</v>
      </c>
      <c r="C7" s="4" t="n">
        <f aca="false">COUNTIF(明細!$A$4:$A$112,A7)</f>
        <v>1</v>
      </c>
      <c r="D7" s="5" t="n">
        <f aca="false">SUMIF(明細!$A$4:$A$112,A7,明細!$N$4:$N$112)</f>
        <v>1260</v>
      </c>
      <c r="E7" s="5" t="n">
        <v>5</v>
      </c>
      <c r="F7" s="5" t="n">
        <f aca="false">IF(INT(D7)&lt;=E7,0,INT(D7)-E7)</f>
        <v>1255</v>
      </c>
    </row>
    <row r="8" customFormat="false" ht="15" hidden="false" customHeight="false" outlineLevel="0" collapsed="false">
      <c r="A8" s="4" t="n">
        <v>1556</v>
      </c>
      <c r="B8" s="4" t="s">
        <v>11</v>
      </c>
      <c r="C8" s="4" t="n">
        <f aca="false">COUNTIF(明細!$A$4:$A$112,A8)</f>
        <v>2</v>
      </c>
      <c r="D8" s="5" t="n">
        <f aca="false">SUMIF(明細!$A$4:$A$112,A8,明細!$N$4:$N$112)</f>
        <v>810</v>
      </c>
      <c r="E8" s="5" t="n">
        <v>5</v>
      </c>
      <c r="F8" s="5" t="n">
        <f aca="false">IF(INT(D8)&lt;=E8,0,INT(D8)-E8)</f>
        <v>805</v>
      </c>
    </row>
    <row r="9" customFormat="false" ht="15" hidden="false" customHeight="false" outlineLevel="0" collapsed="false">
      <c r="A9" s="4" t="n">
        <v>1675</v>
      </c>
      <c r="B9" s="4" t="s">
        <v>12</v>
      </c>
      <c r="C9" s="4" t="n">
        <f aca="false">COUNTIF(明細!$A$4:$A$112,A9)</f>
        <v>2</v>
      </c>
      <c r="D9" s="5" t="n">
        <f aca="false">SUMIF(明細!$A$4:$A$112,A9,明細!$N$4:$N$112)</f>
        <v>4224</v>
      </c>
      <c r="E9" s="5" t="n">
        <v>5</v>
      </c>
      <c r="F9" s="5" t="n">
        <f aca="false">IF(INT(D9)&lt;=E9,0,INT(D9)-E9)</f>
        <v>4219</v>
      </c>
    </row>
    <row r="10" customFormat="false" ht="15" hidden="false" customHeight="false" outlineLevel="0" collapsed="false">
      <c r="A10" s="4" t="n">
        <v>1706</v>
      </c>
      <c r="B10" s="4" t="s">
        <v>13</v>
      </c>
      <c r="C10" s="4" t="n">
        <f aca="false">COUNTIF(明細!$A$4:$A$112,A10)</f>
        <v>5</v>
      </c>
      <c r="D10" s="5" t="n">
        <f aca="false">SUMIF(明細!$A$4:$A$112,A10,明細!$N$4:$N$112)</f>
        <v>2100</v>
      </c>
      <c r="E10" s="5" t="n">
        <v>5</v>
      </c>
      <c r="F10" s="5" t="n">
        <f aca="false">IF(INT(D10)&lt;=E10,0,INT(D10)-E10)</f>
        <v>2095</v>
      </c>
    </row>
    <row r="11" customFormat="false" ht="15" hidden="false" customHeight="false" outlineLevel="0" collapsed="false">
      <c r="A11" s="4" t="n">
        <v>1799</v>
      </c>
      <c r="B11" s="4" t="s">
        <v>14</v>
      </c>
      <c r="C11" s="4" t="n">
        <f aca="false">COUNTIF(明細!$A$4:$A$112,A11)</f>
        <v>10</v>
      </c>
      <c r="D11" s="5" t="n">
        <f aca="false">SUMIF(明細!$A$4:$A$112,A11,明細!$N$4:$N$112)</f>
        <v>3384</v>
      </c>
      <c r="E11" s="5" t="n">
        <v>5</v>
      </c>
      <c r="F11" s="5" t="n">
        <f aca="false">IF(INT(D11)&lt;=E11,0,INT(D11)-E11)</f>
        <v>3379</v>
      </c>
    </row>
    <row r="12" customFormat="false" ht="15" hidden="false" customHeight="false" outlineLevel="0" collapsed="false">
      <c r="A12" s="4" t="n">
        <v>1801</v>
      </c>
      <c r="B12" s="4" t="s">
        <v>15</v>
      </c>
      <c r="C12" s="4" t="n">
        <f aca="false">COUNTIF(明細!$A$4:$A$112,A12)</f>
        <v>13</v>
      </c>
      <c r="D12" s="5" t="n">
        <f aca="false">SUMIF(明細!$A$4:$A$112,A12,明細!$N$4:$N$112)</f>
        <v>16806</v>
      </c>
      <c r="E12" s="5" t="n">
        <v>5</v>
      </c>
      <c r="F12" s="5" t="n">
        <f aca="false">IF(INT(D12)&lt;=E12,0,INT(D12)-E12)</f>
        <v>16801</v>
      </c>
    </row>
    <row r="13" customFormat="false" ht="15" hidden="false" customHeight="false" outlineLevel="0" collapsed="false">
      <c r="A13" s="4" t="n">
        <v>1803</v>
      </c>
      <c r="B13" s="4" t="s">
        <v>16</v>
      </c>
      <c r="C13" s="4" t="n">
        <f aca="false">COUNTIF(明細!$A$4:$A$112,A13)</f>
        <v>7</v>
      </c>
      <c r="D13" s="5" t="n">
        <f aca="false">SUMIF(明細!$A$4:$A$112,A13,明細!$N$4:$N$112)</f>
        <v>1200</v>
      </c>
      <c r="E13" s="5" t="n">
        <v>5</v>
      </c>
      <c r="F13" s="5" t="n">
        <f aca="false">IF(INT(D13)&lt;=E13,0,INT(D13)-E13)</f>
        <v>1195</v>
      </c>
    </row>
    <row r="14" customFormat="false" ht="15" hidden="false" customHeight="false" outlineLevel="0" collapsed="false">
      <c r="A14" s="4" t="n">
        <v>1822</v>
      </c>
      <c r="B14" s="4" t="s">
        <v>17</v>
      </c>
      <c r="C14" s="4" t="n">
        <f aca="false">COUNTIF(明細!$A$4:$A$112,A14)</f>
        <v>4</v>
      </c>
      <c r="D14" s="5" t="n">
        <f aca="false">SUMIF(明細!$A$4:$A$112,A14,明細!$N$4:$N$112)</f>
        <v>1080</v>
      </c>
      <c r="E14" s="5" t="n">
        <v>5</v>
      </c>
      <c r="F14" s="5" t="n">
        <f aca="false">IF(INT(D14)&lt;=E14,0,INT(D14)-E14)</f>
        <v>1075</v>
      </c>
    </row>
    <row r="15" customFormat="false" ht="15" hidden="false" customHeight="false" outlineLevel="0" collapsed="false">
      <c r="A15" s="4" t="n">
        <v>1769</v>
      </c>
      <c r="B15" s="4" t="s">
        <v>18</v>
      </c>
      <c r="C15" s="4" t="n">
        <f aca="false">COUNTIF(明細!$A$4:$A$112,A15)</f>
        <v>8</v>
      </c>
      <c r="D15" s="5" t="n">
        <f aca="false">SUMIF(明細!$A$4:$A$112,A15,明細!$N$4:$N$112)</f>
        <v>5297.25</v>
      </c>
      <c r="E15" s="5" t="n">
        <v>5</v>
      </c>
      <c r="F15" s="5" t="n">
        <f aca="false">IF(INT(D15)&lt;=E15,0,INT(D15)-E15)</f>
        <v>5292</v>
      </c>
    </row>
    <row r="16" customFormat="false" ht="15" hidden="false" customHeight="false" outlineLevel="0" collapsed="false">
      <c r="B16" s="6" t="s">
        <v>19</v>
      </c>
      <c r="C16" s="7" t="n">
        <f aca="false">SUM(C4:C15)</f>
        <v>109</v>
      </c>
      <c r="D16" s="8" t="n">
        <f aca="false">SUM(D4:D15)</f>
        <v>61823.25</v>
      </c>
      <c r="E16" s="8" t="n">
        <f aca="false">SUM(E4:E15)</f>
        <v>60</v>
      </c>
      <c r="F16" s="8" t="n">
        <f aca="false">SUM(F4:F15)</f>
        <v>61763</v>
      </c>
    </row>
    <row r="18" customFormat="false" ht="15" hidden="false" customHeight="false" outlineLevel="0" collapsed="false">
      <c r="A18" s="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5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1" t="s">
        <v>21</v>
      </c>
    </row>
    <row r="3" customFormat="false" ht="39.55" hidden="false" customHeight="false" outlineLevel="0" collapsed="false">
      <c r="A3" s="10" t="s">
        <v>1</v>
      </c>
      <c r="B3" s="10" t="s">
        <v>2</v>
      </c>
      <c r="C3" s="11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0" t="s">
        <v>29</v>
      </c>
      <c r="K3" s="10" t="s">
        <v>30</v>
      </c>
      <c r="L3" s="10" t="s">
        <v>31</v>
      </c>
      <c r="M3" s="10" t="s">
        <v>32</v>
      </c>
      <c r="N3" s="10" t="s">
        <v>6</v>
      </c>
      <c r="O3" s="10" t="s">
        <v>33</v>
      </c>
    </row>
    <row r="4" customFormat="false" ht="15" hidden="false" customHeight="false" outlineLevel="0" collapsed="false">
      <c r="A4" s="4" t="n">
        <v>1239</v>
      </c>
      <c r="B4" s="4" t="s">
        <v>7</v>
      </c>
      <c r="C4" s="4" t="n">
        <v>1</v>
      </c>
      <c r="D4" s="4" t="s">
        <v>34</v>
      </c>
      <c r="E4" s="4" t="s">
        <v>35</v>
      </c>
      <c r="F4" s="4" t="s">
        <v>36</v>
      </c>
      <c r="G4" s="12" t="s">
        <v>37</v>
      </c>
      <c r="H4" s="4" t="n">
        <v>1</v>
      </c>
      <c r="I4" s="13" t="n">
        <v>200</v>
      </c>
      <c r="J4" s="14" t="n">
        <v>0.25</v>
      </c>
      <c r="K4" s="5" t="n">
        <v>50</v>
      </c>
      <c r="L4" s="12" t="s">
        <v>38</v>
      </c>
      <c r="M4" s="4" t="n">
        <v>0</v>
      </c>
      <c r="N4" s="5" t="n">
        <f aca="false">K4*M4</f>
        <v>0</v>
      </c>
      <c r="O4" s="15" t="s">
        <v>39</v>
      </c>
    </row>
    <row r="5" customFormat="false" ht="15" hidden="false" customHeight="false" outlineLevel="0" collapsed="false">
      <c r="A5" s="4" t="n">
        <v>1239</v>
      </c>
      <c r="B5" s="4" t="s">
        <v>7</v>
      </c>
      <c r="C5" s="4" t="n">
        <v>2</v>
      </c>
      <c r="D5" s="4" t="s">
        <v>40</v>
      </c>
      <c r="E5" s="4" t="s">
        <v>41</v>
      </c>
      <c r="F5" s="4" t="s">
        <v>42</v>
      </c>
      <c r="G5" s="12" t="s">
        <v>37</v>
      </c>
      <c r="H5" s="4" t="n">
        <v>1</v>
      </c>
      <c r="I5" s="13" t="n">
        <v>200</v>
      </c>
      <c r="J5" s="14" t="n">
        <v>0.25</v>
      </c>
      <c r="K5" s="5" t="n">
        <v>50</v>
      </c>
      <c r="L5" s="12" t="s">
        <v>38</v>
      </c>
      <c r="M5" s="4" t="n">
        <v>0</v>
      </c>
      <c r="N5" s="5" t="n">
        <f aca="false">K5*M5</f>
        <v>0</v>
      </c>
      <c r="O5" s="15" t="s">
        <v>43</v>
      </c>
    </row>
    <row r="6" customFormat="false" ht="15" hidden="false" customHeight="false" outlineLevel="0" collapsed="false">
      <c r="A6" s="4" t="n">
        <v>1239</v>
      </c>
      <c r="B6" s="4" t="s">
        <v>7</v>
      </c>
      <c r="C6" s="4" t="n">
        <v>3</v>
      </c>
      <c r="D6" s="4" t="s">
        <v>40</v>
      </c>
      <c r="E6" s="4" t="s">
        <v>41</v>
      </c>
      <c r="F6" s="4" t="s">
        <v>44</v>
      </c>
      <c r="G6" s="12" t="s">
        <v>45</v>
      </c>
      <c r="H6" s="4" t="n">
        <v>1</v>
      </c>
      <c r="I6" s="13" t="n">
        <v>150</v>
      </c>
      <c r="J6" s="14" t="n">
        <v>0.25</v>
      </c>
      <c r="K6" s="5" t="n">
        <v>37.5</v>
      </c>
      <c r="L6" s="12" t="s">
        <v>38</v>
      </c>
      <c r="M6" s="4" t="n">
        <v>0</v>
      </c>
      <c r="N6" s="5" t="n">
        <f aca="false">K6*M6</f>
        <v>0</v>
      </c>
      <c r="O6" s="15" t="s">
        <v>43</v>
      </c>
    </row>
    <row r="7" customFormat="false" ht="15" hidden="false" customHeight="false" outlineLevel="0" collapsed="false">
      <c r="A7" s="4" t="n">
        <v>1239</v>
      </c>
      <c r="B7" s="4" t="s">
        <v>7</v>
      </c>
      <c r="C7" s="4" t="n">
        <v>4</v>
      </c>
      <c r="D7" s="4" t="s">
        <v>46</v>
      </c>
      <c r="E7" s="4" t="s">
        <v>47</v>
      </c>
      <c r="F7" s="4" t="s">
        <v>42</v>
      </c>
      <c r="G7" s="12" t="s">
        <v>37</v>
      </c>
      <c r="H7" s="4" t="n">
        <v>1</v>
      </c>
      <c r="I7" s="13" t="n">
        <v>300</v>
      </c>
      <c r="J7" s="14" t="n">
        <v>0.2</v>
      </c>
      <c r="K7" s="5" t="n">
        <v>60</v>
      </c>
      <c r="L7" s="12" t="s">
        <v>38</v>
      </c>
      <c r="M7" s="4" t="n">
        <v>0</v>
      </c>
      <c r="N7" s="5" t="n">
        <f aca="false">K7*M7</f>
        <v>0</v>
      </c>
      <c r="O7" s="15" t="s">
        <v>39</v>
      </c>
    </row>
    <row r="8" customFormat="false" ht="15" hidden="false" customHeight="false" outlineLevel="0" collapsed="false">
      <c r="A8" s="4" t="n">
        <v>1239</v>
      </c>
      <c r="B8" s="4" t="s">
        <v>7</v>
      </c>
      <c r="C8" s="4" t="n">
        <v>5</v>
      </c>
      <c r="D8" s="4" t="s">
        <v>48</v>
      </c>
      <c r="E8" s="4" t="s">
        <v>49</v>
      </c>
      <c r="F8" s="4" t="s">
        <v>36</v>
      </c>
      <c r="G8" s="12" t="s">
        <v>37</v>
      </c>
      <c r="H8" s="4" t="n">
        <v>1</v>
      </c>
      <c r="I8" s="13" t="n">
        <v>400</v>
      </c>
      <c r="J8" s="14" t="n">
        <v>0.25</v>
      </c>
      <c r="K8" s="5" t="n">
        <v>100</v>
      </c>
      <c r="L8" s="12" t="s">
        <v>38</v>
      </c>
      <c r="M8" s="4" t="n">
        <v>0</v>
      </c>
      <c r="N8" s="5" t="n">
        <f aca="false">K8*M8</f>
        <v>0</v>
      </c>
      <c r="O8" s="15" t="s">
        <v>43</v>
      </c>
    </row>
    <row r="9" customFormat="false" ht="15" hidden="false" customHeight="false" outlineLevel="0" collapsed="false">
      <c r="A9" s="4" t="n">
        <v>1239</v>
      </c>
      <c r="B9" s="4" t="s">
        <v>7</v>
      </c>
      <c r="C9" s="4" t="n">
        <v>6</v>
      </c>
      <c r="D9" s="4" t="s">
        <v>48</v>
      </c>
      <c r="E9" s="4" t="s">
        <v>49</v>
      </c>
      <c r="F9" s="4" t="s">
        <v>44</v>
      </c>
      <c r="G9" s="12" t="s">
        <v>45</v>
      </c>
      <c r="H9" s="4" t="n">
        <v>1</v>
      </c>
      <c r="I9" s="13" t="n">
        <v>150</v>
      </c>
      <c r="J9" s="14" t="n">
        <v>0.3</v>
      </c>
      <c r="K9" s="5" t="n">
        <v>45</v>
      </c>
      <c r="L9" s="12" t="s">
        <v>38</v>
      </c>
      <c r="M9" s="4" t="n">
        <v>12</v>
      </c>
      <c r="N9" s="5" t="n">
        <f aca="false">K9*M9</f>
        <v>540</v>
      </c>
      <c r="O9" s="16" t="s">
        <v>50</v>
      </c>
    </row>
    <row r="10" customFormat="false" ht="15" hidden="false" customHeight="false" outlineLevel="0" collapsed="false">
      <c r="A10" s="4" t="n">
        <v>1239</v>
      </c>
      <c r="B10" s="4" t="s">
        <v>7</v>
      </c>
      <c r="C10" s="4" t="n">
        <v>7</v>
      </c>
      <c r="D10" s="4" t="s">
        <v>51</v>
      </c>
      <c r="E10" s="4" t="s">
        <v>52</v>
      </c>
      <c r="F10" s="4" t="s">
        <v>42</v>
      </c>
      <c r="G10" s="12" t="s">
        <v>37</v>
      </c>
      <c r="H10" s="4" t="n">
        <v>1</v>
      </c>
      <c r="I10" s="13" t="n">
        <v>300</v>
      </c>
      <c r="J10" s="14" t="n">
        <v>0.25</v>
      </c>
      <c r="K10" s="5" t="n">
        <v>75</v>
      </c>
      <c r="L10" s="12" t="s">
        <v>38</v>
      </c>
      <c r="M10" s="4" t="n">
        <v>0</v>
      </c>
      <c r="N10" s="5" t="n">
        <f aca="false">K10*M10</f>
        <v>0</v>
      </c>
      <c r="O10" s="15" t="s">
        <v>43</v>
      </c>
    </row>
    <row r="11" customFormat="false" ht="15" hidden="false" customHeight="false" outlineLevel="0" collapsed="false">
      <c r="A11" s="4" t="n">
        <v>1239</v>
      </c>
      <c r="B11" s="4" t="s">
        <v>7</v>
      </c>
      <c r="C11" s="4" t="n">
        <v>8</v>
      </c>
      <c r="D11" s="4" t="s">
        <v>53</v>
      </c>
      <c r="E11" s="4" t="s">
        <v>54</v>
      </c>
      <c r="F11" s="4" t="s">
        <v>42</v>
      </c>
      <c r="G11" s="12" t="s">
        <v>37</v>
      </c>
      <c r="H11" s="4" t="n">
        <v>1</v>
      </c>
      <c r="I11" s="13" t="n">
        <v>200</v>
      </c>
      <c r="J11" s="14" t="n">
        <v>0.25</v>
      </c>
      <c r="K11" s="5" t="n">
        <v>50</v>
      </c>
      <c r="L11" s="12" t="s">
        <v>38</v>
      </c>
      <c r="M11" s="4" t="n">
        <v>0</v>
      </c>
      <c r="N11" s="5" t="n">
        <f aca="false">K11*M11</f>
        <v>0</v>
      </c>
      <c r="O11" s="15" t="s">
        <v>43</v>
      </c>
    </row>
    <row r="12" customFormat="false" ht="15" hidden="false" customHeight="false" outlineLevel="0" collapsed="false">
      <c r="A12" s="4" t="n">
        <v>1239</v>
      </c>
      <c r="B12" s="4" t="s">
        <v>7</v>
      </c>
      <c r="C12" s="4" t="n">
        <v>9</v>
      </c>
      <c r="D12" s="4" t="s">
        <v>55</v>
      </c>
      <c r="E12" s="4" t="s">
        <v>56</v>
      </c>
      <c r="F12" s="4" t="s">
        <v>44</v>
      </c>
      <c r="G12" s="12" t="s">
        <v>37</v>
      </c>
      <c r="H12" s="4" t="n">
        <v>1</v>
      </c>
      <c r="I12" s="13" t="n">
        <v>320</v>
      </c>
      <c r="J12" s="14" t="n">
        <v>0.1</v>
      </c>
      <c r="K12" s="5" t="n">
        <v>32</v>
      </c>
      <c r="L12" s="12" t="s">
        <v>38</v>
      </c>
      <c r="M12" s="4" t="n">
        <v>12</v>
      </c>
      <c r="N12" s="5" t="n">
        <f aca="false">K12*M12</f>
        <v>384</v>
      </c>
      <c r="O12" s="16" t="s">
        <v>50</v>
      </c>
    </row>
    <row r="13" customFormat="false" ht="15" hidden="false" customHeight="false" outlineLevel="0" collapsed="false">
      <c r="A13" s="4" t="n">
        <v>1239</v>
      </c>
      <c r="B13" s="4" t="s">
        <v>7</v>
      </c>
      <c r="C13" s="4" t="n">
        <v>10</v>
      </c>
      <c r="D13" s="4" t="s">
        <v>57</v>
      </c>
      <c r="E13" s="4" t="s">
        <v>58</v>
      </c>
      <c r="F13" s="4" t="s">
        <v>44</v>
      </c>
      <c r="G13" s="12" t="s">
        <v>37</v>
      </c>
      <c r="H13" s="4" t="n">
        <v>1</v>
      </c>
      <c r="I13" s="13" t="n">
        <v>100</v>
      </c>
      <c r="J13" s="14" t="n">
        <v>0.25</v>
      </c>
      <c r="K13" s="5" t="n">
        <v>25</v>
      </c>
      <c r="L13" s="12" t="s">
        <v>38</v>
      </c>
      <c r="M13" s="4" t="n">
        <v>0</v>
      </c>
      <c r="N13" s="5" t="n">
        <f aca="false">K13*M13</f>
        <v>0</v>
      </c>
      <c r="O13" s="15" t="s">
        <v>43</v>
      </c>
    </row>
    <row r="14" customFormat="false" ht="15" hidden="false" customHeight="false" outlineLevel="0" collapsed="false">
      <c r="A14" s="4" t="n">
        <v>1239</v>
      </c>
      <c r="B14" s="4" t="s">
        <v>7</v>
      </c>
      <c r="C14" s="4" t="n">
        <v>11</v>
      </c>
      <c r="D14" s="4" t="s">
        <v>59</v>
      </c>
      <c r="E14" s="4" t="s">
        <v>60</v>
      </c>
      <c r="F14" s="4" t="s">
        <v>44</v>
      </c>
      <c r="G14" s="12" t="s">
        <v>37</v>
      </c>
      <c r="H14" s="4" t="n">
        <v>1</v>
      </c>
      <c r="I14" s="13" t="n">
        <v>500</v>
      </c>
      <c r="J14" s="14" t="n">
        <v>0.3</v>
      </c>
      <c r="K14" s="5" t="n">
        <v>150</v>
      </c>
      <c r="L14" s="12" t="s">
        <v>38</v>
      </c>
      <c r="M14" s="4" t="n">
        <v>12</v>
      </c>
      <c r="N14" s="5" t="n">
        <f aca="false">K14*M14</f>
        <v>1800</v>
      </c>
      <c r="O14" s="16" t="s">
        <v>50</v>
      </c>
    </row>
    <row r="15" customFormat="false" ht="15" hidden="false" customHeight="false" outlineLevel="0" collapsed="false">
      <c r="A15" s="4" t="n">
        <v>1239</v>
      </c>
      <c r="B15" s="4" t="s">
        <v>7</v>
      </c>
      <c r="C15" s="4" t="n">
        <v>12</v>
      </c>
      <c r="D15" s="4" t="s">
        <v>61</v>
      </c>
      <c r="E15" s="4" t="s">
        <v>62</v>
      </c>
      <c r="F15" s="4" t="s">
        <v>36</v>
      </c>
      <c r="G15" s="12" t="s">
        <v>37</v>
      </c>
      <c r="H15" s="4" t="n">
        <v>1</v>
      </c>
      <c r="I15" s="13" t="n">
        <v>200</v>
      </c>
      <c r="J15" s="14" t="n">
        <v>0.25</v>
      </c>
      <c r="K15" s="5" t="n">
        <v>50</v>
      </c>
      <c r="L15" s="12" t="s">
        <v>38</v>
      </c>
      <c r="M15" s="4" t="n">
        <v>0</v>
      </c>
      <c r="N15" s="5" t="n">
        <f aca="false">K15*M15</f>
        <v>0</v>
      </c>
      <c r="O15" s="15" t="s">
        <v>39</v>
      </c>
    </row>
    <row r="16" customFormat="false" ht="15" hidden="false" customHeight="false" outlineLevel="0" collapsed="false">
      <c r="A16" s="4" t="n">
        <v>1239</v>
      </c>
      <c r="B16" s="4" t="s">
        <v>7</v>
      </c>
      <c r="C16" s="4" t="n">
        <v>13</v>
      </c>
      <c r="D16" s="4" t="s">
        <v>63</v>
      </c>
      <c r="E16" s="4" t="s">
        <v>64</v>
      </c>
      <c r="F16" s="4" t="s">
        <v>44</v>
      </c>
      <c r="G16" s="12" t="s">
        <v>37</v>
      </c>
      <c r="H16" s="4" t="n">
        <v>1</v>
      </c>
      <c r="I16" s="13" t="n">
        <v>300</v>
      </c>
      <c r="J16" s="14" t="n">
        <v>0.25</v>
      </c>
      <c r="K16" s="5" t="n">
        <v>75</v>
      </c>
      <c r="L16" s="12" t="s">
        <v>38</v>
      </c>
      <c r="M16" s="4" t="n">
        <v>0</v>
      </c>
      <c r="N16" s="5" t="n">
        <f aca="false">K16*M16</f>
        <v>0</v>
      </c>
      <c r="O16" s="15" t="s">
        <v>39</v>
      </c>
    </row>
    <row r="17" customFormat="false" ht="15" hidden="false" customHeight="false" outlineLevel="0" collapsed="false">
      <c r="A17" s="4" t="n">
        <v>1239</v>
      </c>
      <c r="B17" s="4" t="s">
        <v>7</v>
      </c>
      <c r="C17" s="4" t="n">
        <v>14</v>
      </c>
      <c r="D17" s="4" t="s">
        <v>65</v>
      </c>
      <c r="E17" s="4" t="s">
        <v>66</v>
      </c>
      <c r="F17" s="4" t="s">
        <v>44</v>
      </c>
      <c r="G17" s="12" t="s">
        <v>37</v>
      </c>
      <c r="H17" s="4" t="n">
        <v>1</v>
      </c>
      <c r="I17" s="13" t="n">
        <v>100</v>
      </c>
      <c r="J17" s="14" t="n">
        <v>0.2</v>
      </c>
      <c r="K17" s="5" t="n">
        <v>20</v>
      </c>
      <c r="L17" s="12" t="s">
        <v>38</v>
      </c>
      <c r="M17" s="4" t="n">
        <v>0</v>
      </c>
      <c r="N17" s="5" t="n">
        <f aca="false">K17*M17</f>
        <v>0</v>
      </c>
      <c r="O17" s="15" t="s">
        <v>43</v>
      </c>
    </row>
    <row r="18" customFormat="false" ht="15" hidden="false" customHeight="false" outlineLevel="0" collapsed="false">
      <c r="A18" s="4" t="n">
        <v>1239</v>
      </c>
      <c r="B18" s="4" t="s">
        <v>7</v>
      </c>
      <c r="C18" s="4" t="n">
        <v>15</v>
      </c>
      <c r="D18" s="4" t="s">
        <v>67</v>
      </c>
      <c r="E18" s="4" t="s">
        <v>68</v>
      </c>
      <c r="F18" s="4" t="s">
        <v>42</v>
      </c>
      <c r="G18" s="12" t="s">
        <v>37</v>
      </c>
      <c r="H18" s="4" t="n">
        <v>1</v>
      </c>
      <c r="I18" s="13" t="n">
        <v>265</v>
      </c>
      <c r="J18" s="14" t="n">
        <v>0.25</v>
      </c>
      <c r="K18" s="5" t="n">
        <v>66.25</v>
      </c>
      <c r="L18" s="12" t="s">
        <v>38</v>
      </c>
      <c r="M18" s="4" t="n">
        <v>12</v>
      </c>
      <c r="N18" s="5" t="n">
        <f aca="false">K18*M18</f>
        <v>795</v>
      </c>
      <c r="O18" s="16" t="s">
        <v>50</v>
      </c>
    </row>
    <row r="19" customFormat="false" ht="15" hidden="false" customHeight="false" outlineLevel="0" collapsed="false">
      <c r="A19" s="4" t="n">
        <v>1239</v>
      </c>
      <c r="B19" s="4" t="s">
        <v>7</v>
      </c>
      <c r="C19" s="4" t="n">
        <v>16</v>
      </c>
      <c r="D19" s="4" t="s">
        <v>69</v>
      </c>
      <c r="E19" s="4" t="s">
        <v>70</v>
      </c>
      <c r="F19" s="4" t="s">
        <v>44</v>
      </c>
      <c r="G19" s="12" t="s">
        <v>37</v>
      </c>
      <c r="H19" s="4" t="n">
        <v>1</v>
      </c>
      <c r="I19" s="13" t="n">
        <v>150</v>
      </c>
      <c r="J19" s="14" t="n">
        <v>0.25</v>
      </c>
      <c r="K19" s="5" t="n">
        <v>37.5</v>
      </c>
      <c r="L19" s="12" t="s">
        <v>38</v>
      </c>
      <c r="M19" s="4" t="n">
        <v>0</v>
      </c>
      <c r="N19" s="5" t="n">
        <f aca="false">K19*M19</f>
        <v>0</v>
      </c>
      <c r="O19" s="15" t="s">
        <v>43</v>
      </c>
    </row>
    <row r="20" customFormat="false" ht="15" hidden="false" customHeight="false" outlineLevel="0" collapsed="false">
      <c r="A20" s="4" t="n">
        <v>1239</v>
      </c>
      <c r="B20" s="4" t="s">
        <v>7</v>
      </c>
      <c r="C20" s="4" t="n">
        <v>17</v>
      </c>
      <c r="D20" s="4" t="s">
        <v>71</v>
      </c>
      <c r="E20" s="4" t="s">
        <v>72</v>
      </c>
      <c r="F20" s="4" t="s">
        <v>36</v>
      </c>
      <c r="G20" s="12" t="s">
        <v>37</v>
      </c>
      <c r="H20" s="4" t="n">
        <v>1</v>
      </c>
      <c r="I20" s="13" t="n">
        <v>200</v>
      </c>
      <c r="J20" s="14" t="n">
        <v>0.3</v>
      </c>
      <c r="K20" s="5" t="n">
        <v>60</v>
      </c>
      <c r="L20" s="12" t="s">
        <v>38</v>
      </c>
      <c r="M20" s="4" t="n">
        <v>12</v>
      </c>
      <c r="N20" s="5" t="n">
        <f aca="false">K20*M20</f>
        <v>720</v>
      </c>
      <c r="O20" s="16" t="s">
        <v>50</v>
      </c>
    </row>
    <row r="21" customFormat="false" ht="15" hidden="false" customHeight="false" outlineLevel="0" collapsed="false">
      <c r="A21" s="4" t="n">
        <v>1239</v>
      </c>
      <c r="B21" s="4" t="s">
        <v>7</v>
      </c>
      <c r="C21" s="4" t="n">
        <v>18</v>
      </c>
      <c r="D21" s="4" t="s">
        <v>73</v>
      </c>
      <c r="E21" s="4" t="s">
        <v>74</v>
      </c>
      <c r="F21" s="4" t="s">
        <v>44</v>
      </c>
      <c r="G21" s="12" t="s">
        <v>37</v>
      </c>
      <c r="H21" s="4" t="n">
        <v>1</v>
      </c>
      <c r="I21" s="13" t="n">
        <v>150</v>
      </c>
      <c r="J21" s="14" t="n">
        <v>0.3</v>
      </c>
      <c r="K21" s="5" t="n">
        <v>45</v>
      </c>
      <c r="L21" s="12" t="s">
        <v>38</v>
      </c>
      <c r="M21" s="4" t="n">
        <v>12</v>
      </c>
      <c r="N21" s="5" t="n">
        <f aca="false">K21*M21</f>
        <v>540</v>
      </c>
      <c r="O21" s="16" t="s">
        <v>50</v>
      </c>
    </row>
    <row r="22" customFormat="false" ht="15" hidden="false" customHeight="false" outlineLevel="0" collapsed="false">
      <c r="A22" s="4" t="n">
        <v>1239</v>
      </c>
      <c r="B22" s="4" t="s">
        <v>7</v>
      </c>
      <c r="C22" s="4" t="n">
        <v>19</v>
      </c>
      <c r="D22" s="4" t="s">
        <v>75</v>
      </c>
      <c r="E22" s="4" t="s">
        <v>76</v>
      </c>
      <c r="F22" s="4" t="s">
        <v>44</v>
      </c>
      <c r="G22" s="12" t="s">
        <v>37</v>
      </c>
      <c r="H22" s="4" t="n">
        <v>1</v>
      </c>
      <c r="I22" s="13" t="n">
        <v>100</v>
      </c>
      <c r="J22" s="14" t="n">
        <v>0.25</v>
      </c>
      <c r="K22" s="5" t="n">
        <v>25</v>
      </c>
      <c r="L22" s="12" t="s">
        <v>38</v>
      </c>
      <c r="M22" s="4" t="n">
        <v>0</v>
      </c>
      <c r="N22" s="5" t="n">
        <f aca="false">K22*M22</f>
        <v>0</v>
      </c>
      <c r="O22" s="15" t="s">
        <v>77</v>
      </c>
    </row>
    <row r="23" customFormat="false" ht="15" hidden="false" customHeight="false" outlineLevel="0" collapsed="false">
      <c r="A23" s="4" t="n">
        <v>1239</v>
      </c>
      <c r="B23" s="4" t="s">
        <v>7</v>
      </c>
      <c r="C23" s="4" t="n">
        <v>20</v>
      </c>
      <c r="D23" s="4" t="s">
        <v>78</v>
      </c>
      <c r="E23" s="4" t="s">
        <v>79</v>
      </c>
      <c r="F23" s="4" t="s">
        <v>44</v>
      </c>
      <c r="G23" s="12" t="s">
        <v>37</v>
      </c>
      <c r="H23" s="4" t="n">
        <v>1</v>
      </c>
      <c r="I23" s="13" t="n">
        <v>300</v>
      </c>
      <c r="J23" s="14" t="n">
        <v>0.3</v>
      </c>
      <c r="K23" s="5" t="n">
        <v>90</v>
      </c>
      <c r="L23" s="12" t="s">
        <v>38</v>
      </c>
      <c r="M23" s="4" t="n">
        <v>12</v>
      </c>
      <c r="N23" s="5" t="n">
        <f aca="false">K23*M23</f>
        <v>1080</v>
      </c>
      <c r="O23" s="16" t="s">
        <v>50</v>
      </c>
    </row>
    <row r="24" customFormat="false" ht="15" hidden="false" customHeight="false" outlineLevel="0" collapsed="false">
      <c r="A24" s="4" t="n">
        <v>1239</v>
      </c>
      <c r="B24" s="4" t="s">
        <v>7</v>
      </c>
      <c r="C24" s="4" t="n">
        <v>21</v>
      </c>
      <c r="D24" s="4" t="s">
        <v>80</v>
      </c>
      <c r="E24" s="4" t="s">
        <v>81</v>
      </c>
      <c r="F24" s="4" t="s">
        <v>44</v>
      </c>
      <c r="G24" s="12" t="s">
        <v>37</v>
      </c>
      <c r="H24" s="4" t="n">
        <v>1</v>
      </c>
      <c r="I24" s="13" t="n">
        <v>300</v>
      </c>
      <c r="J24" s="14" t="n">
        <v>0.3</v>
      </c>
      <c r="K24" s="5" t="n">
        <v>90</v>
      </c>
      <c r="L24" s="12" t="s">
        <v>38</v>
      </c>
      <c r="M24" s="4" t="n">
        <v>12</v>
      </c>
      <c r="N24" s="5" t="n">
        <f aca="false">K24*M24</f>
        <v>1080</v>
      </c>
      <c r="O24" s="16" t="s">
        <v>50</v>
      </c>
    </row>
    <row r="25" customFormat="false" ht="15" hidden="false" customHeight="false" outlineLevel="0" collapsed="false">
      <c r="A25" s="4" t="n">
        <v>1239</v>
      </c>
      <c r="B25" s="4" t="s">
        <v>7</v>
      </c>
      <c r="C25" s="4" t="n">
        <v>22</v>
      </c>
      <c r="D25" s="4" t="s">
        <v>82</v>
      </c>
      <c r="E25" s="4" t="s">
        <v>83</v>
      </c>
      <c r="F25" s="4" t="s">
        <v>36</v>
      </c>
      <c r="G25" s="12" t="s">
        <v>37</v>
      </c>
      <c r="H25" s="4" t="n">
        <v>1</v>
      </c>
      <c r="I25" s="13" t="n">
        <v>450</v>
      </c>
      <c r="J25" s="14" t="n">
        <v>0.2</v>
      </c>
      <c r="K25" s="5" t="n">
        <v>90</v>
      </c>
      <c r="L25" s="12" t="s">
        <v>38</v>
      </c>
      <c r="M25" s="4" t="n">
        <v>0</v>
      </c>
      <c r="N25" s="5" t="n">
        <f aca="false">K25*M25</f>
        <v>0</v>
      </c>
      <c r="O25" s="15" t="s">
        <v>43</v>
      </c>
    </row>
    <row r="26" customFormat="false" ht="15" hidden="false" customHeight="false" outlineLevel="0" collapsed="false">
      <c r="A26" s="4" t="n">
        <v>1239</v>
      </c>
      <c r="B26" s="4" t="s">
        <v>7</v>
      </c>
      <c r="C26" s="4" t="n">
        <v>23</v>
      </c>
      <c r="D26" s="4" t="s">
        <v>84</v>
      </c>
      <c r="E26" s="4" t="s">
        <v>85</v>
      </c>
      <c r="F26" s="4" t="s">
        <v>36</v>
      </c>
      <c r="G26" s="12" t="s">
        <v>37</v>
      </c>
      <c r="H26" s="4" t="n">
        <v>1</v>
      </c>
      <c r="I26" s="13" t="n">
        <v>900</v>
      </c>
      <c r="J26" s="14" t="n">
        <v>0.25</v>
      </c>
      <c r="K26" s="5" t="n">
        <v>225</v>
      </c>
      <c r="L26" s="12" t="s">
        <v>38</v>
      </c>
      <c r="M26" s="4" t="n">
        <v>12</v>
      </c>
      <c r="N26" s="5" t="n">
        <f aca="false">K26*M26</f>
        <v>2700</v>
      </c>
      <c r="O26" s="16" t="s">
        <v>50</v>
      </c>
    </row>
    <row r="27" customFormat="false" ht="15" hidden="false" customHeight="false" outlineLevel="0" collapsed="false">
      <c r="A27" s="4" t="n">
        <v>1239</v>
      </c>
      <c r="B27" s="4" t="s">
        <v>7</v>
      </c>
      <c r="C27" s="4" t="n">
        <v>24</v>
      </c>
      <c r="D27" s="4" t="s">
        <v>86</v>
      </c>
      <c r="E27" s="4" t="s">
        <v>87</v>
      </c>
      <c r="F27" s="4" t="s">
        <v>42</v>
      </c>
      <c r="G27" s="12" t="s">
        <v>37</v>
      </c>
      <c r="H27" s="4" t="n">
        <v>1</v>
      </c>
      <c r="I27" s="13" t="n">
        <v>200</v>
      </c>
      <c r="J27" s="14" t="n">
        <v>0.25</v>
      </c>
      <c r="K27" s="5" t="n">
        <v>50</v>
      </c>
      <c r="L27" s="12" t="s">
        <v>38</v>
      </c>
      <c r="M27" s="4" t="n">
        <v>0</v>
      </c>
      <c r="N27" s="5" t="n">
        <f aca="false">K27*M27</f>
        <v>0</v>
      </c>
      <c r="O27" s="15" t="s">
        <v>43</v>
      </c>
    </row>
    <row r="28" customFormat="false" ht="15" hidden="false" customHeight="false" outlineLevel="0" collapsed="false">
      <c r="A28" s="4" t="n">
        <v>1239</v>
      </c>
      <c r="B28" s="4" t="s">
        <v>7</v>
      </c>
      <c r="C28" s="4" t="n">
        <v>25</v>
      </c>
      <c r="D28" s="4" t="s">
        <v>88</v>
      </c>
      <c r="E28" s="4" t="s">
        <v>89</v>
      </c>
      <c r="F28" s="4" t="s">
        <v>42</v>
      </c>
      <c r="G28" s="12" t="s">
        <v>37</v>
      </c>
      <c r="H28" s="4" t="n">
        <v>1</v>
      </c>
      <c r="I28" s="13" t="n">
        <v>265</v>
      </c>
      <c r="J28" s="14" t="n">
        <v>0.25</v>
      </c>
      <c r="K28" s="5" t="n">
        <v>66.25</v>
      </c>
      <c r="L28" s="12" t="s">
        <v>38</v>
      </c>
      <c r="M28" s="4" t="n">
        <v>12</v>
      </c>
      <c r="N28" s="5" t="n">
        <f aca="false">K28*M28</f>
        <v>795</v>
      </c>
      <c r="O28" s="16" t="s">
        <v>50</v>
      </c>
    </row>
    <row r="29" customFormat="false" ht="15" hidden="false" customHeight="false" outlineLevel="0" collapsed="false">
      <c r="A29" s="4" t="n">
        <v>1239</v>
      </c>
      <c r="B29" s="4" t="s">
        <v>7</v>
      </c>
      <c r="C29" s="4" t="n">
        <v>26</v>
      </c>
      <c r="D29" s="4" t="s">
        <v>90</v>
      </c>
      <c r="E29" s="4" t="s">
        <v>91</v>
      </c>
      <c r="F29" s="4" t="s">
        <v>44</v>
      </c>
      <c r="G29" s="12" t="s">
        <v>37</v>
      </c>
      <c r="H29" s="4" t="n">
        <v>1</v>
      </c>
      <c r="I29" s="13" t="n">
        <v>200</v>
      </c>
      <c r="J29" s="14" t="n">
        <v>0.25</v>
      </c>
      <c r="K29" s="5" t="n">
        <v>50</v>
      </c>
      <c r="L29" s="12" t="s">
        <v>38</v>
      </c>
      <c r="M29" s="4" t="n">
        <v>0</v>
      </c>
      <c r="N29" s="5" t="n">
        <f aca="false">K29*M29</f>
        <v>0</v>
      </c>
      <c r="O29" s="15" t="s">
        <v>39</v>
      </c>
    </row>
    <row r="30" customFormat="false" ht="15" hidden="false" customHeight="false" outlineLevel="0" collapsed="false">
      <c r="A30" s="4" t="n">
        <v>1239</v>
      </c>
      <c r="B30" s="4" t="s">
        <v>7</v>
      </c>
      <c r="C30" s="4" t="n">
        <v>27</v>
      </c>
      <c r="D30" s="4" t="s">
        <v>92</v>
      </c>
      <c r="E30" s="4" t="s">
        <v>93</v>
      </c>
      <c r="F30" s="4" t="s">
        <v>44</v>
      </c>
      <c r="G30" s="12" t="s">
        <v>37</v>
      </c>
      <c r="H30" s="4" t="n">
        <v>1</v>
      </c>
      <c r="I30" s="13" t="n">
        <v>100</v>
      </c>
      <c r="J30" s="14" t="n">
        <v>0.2</v>
      </c>
      <c r="K30" s="5" t="n">
        <v>20</v>
      </c>
      <c r="L30" s="12" t="s">
        <v>38</v>
      </c>
      <c r="M30" s="4" t="n">
        <v>0</v>
      </c>
      <c r="N30" s="5" t="n">
        <f aca="false">K30*M30</f>
        <v>0</v>
      </c>
      <c r="O30" s="15" t="s">
        <v>39</v>
      </c>
    </row>
    <row r="31" customFormat="false" ht="15" hidden="false" customHeight="false" outlineLevel="0" collapsed="false">
      <c r="A31" s="4" t="n">
        <v>1239</v>
      </c>
      <c r="B31" s="4" t="s">
        <v>7</v>
      </c>
      <c r="C31" s="4" t="n">
        <v>28</v>
      </c>
      <c r="D31" s="4" t="s">
        <v>94</v>
      </c>
      <c r="E31" s="4" t="s">
        <v>95</v>
      </c>
      <c r="F31" s="4" t="s">
        <v>44</v>
      </c>
      <c r="G31" s="12" t="s">
        <v>37</v>
      </c>
      <c r="H31" s="4" t="n">
        <v>1</v>
      </c>
      <c r="I31" s="13" t="n">
        <v>600</v>
      </c>
      <c r="J31" s="14" t="n">
        <v>0.2</v>
      </c>
      <c r="K31" s="5" t="n">
        <v>120</v>
      </c>
      <c r="L31" s="12" t="s">
        <v>38</v>
      </c>
      <c r="M31" s="4" t="n">
        <v>0</v>
      </c>
      <c r="N31" s="5" t="n">
        <f aca="false">K31*M31</f>
        <v>0</v>
      </c>
      <c r="O31" s="15" t="s">
        <v>39</v>
      </c>
    </row>
    <row r="32" customFormat="false" ht="15" hidden="false" customHeight="false" outlineLevel="0" collapsed="false">
      <c r="A32" s="4" t="n">
        <v>1239</v>
      </c>
      <c r="B32" s="4" t="s">
        <v>7</v>
      </c>
      <c r="C32" s="4" t="n">
        <v>29</v>
      </c>
      <c r="D32" s="4" t="s">
        <v>96</v>
      </c>
      <c r="E32" s="4" t="s">
        <v>97</v>
      </c>
      <c r="F32" s="4" t="s">
        <v>36</v>
      </c>
      <c r="G32" s="12" t="s">
        <v>37</v>
      </c>
      <c r="H32" s="4" t="n">
        <v>1</v>
      </c>
      <c r="I32" s="13" t="n">
        <v>300</v>
      </c>
      <c r="J32" s="14" t="n">
        <v>0.25</v>
      </c>
      <c r="K32" s="5" t="n">
        <v>75</v>
      </c>
      <c r="L32" s="12" t="s">
        <v>38</v>
      </c>
      <c r="M32" s="4" t="n">
        <v>0</v>
      </c>
      <c r="N32" s="5" t="n">
        <f aca="false">K32*M32</f>
        <v>0</v>
      </c>
      <c r="O32" s="15" t="s">
        <v>39</v>
      </c>
    </row>
    <row r="33" customFormat="false" ht="15" hidden="false" customHeight="false" outlineLevel="0" collapsed="false">
      <c r="A33" s="4" t="n">
        <v>1239</v>
      </c>
      <c r="B33" s="4" t="s">
        <v>7</v>
      </c>
      <c r="C33" s="4" t="n">
        <v>30</v>
      </c>
      <c r="D33" s="4" t="s">
        <v>98</v>
      </c>
      <c r="E33" s="4" t="s">
        <v>99</v>
      </c>
      <c r="F33" s="4" t="s">
        <v>42</v>
      </c>
      <c r="G33" s="12" t="s">
        <v>37</v>
      </c>
      <c r="H33" s="4" t="n">
        <v>1</v>
      </c>
      <c r="I33" s="13" t="n">
        <v>450</v>
      </c>
      <c r="J33" s="14" t="n">
        <v>0.2</v>
      </c>
      <c r="K33" s="5" t="n">
        <v>90</v>
      </c>
      <c r="L33" s="12" t="s">
        <v>38</v>
      </c>
      <c r="M33" s="4" t="n">
        <v>0</v>
      </c>
      <c r="N33" s="5" t="n">
        <f aca="false">K33*M33</f>
        <v>0</v>
      </c>
      <c r="O33" s="15" t="s">
        <v>43</v>
      </c>
    </row>
    <row r="34" customFormat="false" ht="15" hidden="false" customHeight="false" outlineLevel="0" collapsed="false">
      <c r="A34" s="4" t="n">
        <v>1239</v>
      </c>
      <c r="B34" s="4" t="s">
        <v>7</v>
      </c>
      <c r="C34" s="4" t="n">
        <v>31</v>
      </c>
      <c r="D34" s="4" t="s">
        <v>100</v>
      </c>
      <c r="E34" s="4" t="s">
        <v>101</v>
      </c>
      <c r="F34" s="4" t="s">
        <v>44</v>
      </c>
      <c r="G34" s="12" t="s">
        <v>37</v>
      </c>
      <c r="H34" s="4" t="n">
        <v>1</v>
      </c>
      <c r="I34" s="13" t="n">
        <v>200</v>
      </c>
      <c r="J34" s="14" t="n">
        <v>0.25</v>
      </c>
      <c r="K34" s="5" t="n">
        <v>50</v>
      </c>
      <c r="L34" s="12" t="s">
        <v>38</v>
      </c>
      <c r="M34" s="4" t="n">
        <v>0</v>
      </c>
      <c r="N34" s="5" t="n">
        <f aca="false">K34*M34</f>
        <v>0</v>
      </c>
      <c r="O34" s="15" t="s">
        <v>39</v>
      </c>
    </row>
    <row r="35" customFormat="false" ht="15" hidden="false" customHeight="false" outlineLevel="0" collapsed="false">
      <c r="A35" s="4" t="n">
        <v>1239</v>
      </c>
      <c r="B35" s="4" t="s">
        <v>7</v>
      </c>
      <c r="C35" s="4" t="n">
        <v>32</v>
      </c>
      <c r="D35" s="4" t="s">
        <v>102</v>
      </c>
      <c r="E35" s="4" t="s">
        <v>103</v>
      </c>
      <c r="F35" s="4" t="s">
        <v>44</v>
      </c>
      <c r="G35" s="12" t="s">
        <v>37</v>
      </c>
      <c r="H35" s="4" t="n">
        <v>1</v>
      </c>
      <c r="I35" s="13" t="n">
        <v>320</v>
      </c>
      <c r="J35" s="14" t="n">
        <v>0.1</v>
      </c>
      <c r="K35" s="5" t="n">
        <v>32</v>
      </c>
      <c r="L35" s="12" t="s">
        <v>38</v>
      </c>
      <c r="M35" s="4" t="n">
        <v>12</v>
      </c>
      <c r="N35" s="5" t="n">
        <f aca="false">K35*M35</f>
        <v>384</v>
      </c>
      <c r="O35" s="16" t="s">
        <v>50</v>
      </c>
    </row>
    <row r="36" customFormat="false" ht="15" hidden="false" customHeight="false" outlineLevel="0" collapsed="false">
      <c r="A36" s="4" t="n">
        <v>1239</v>
      </c>
      <c r="B36" s="4" t="s">
        <v>7</v>
      </c>
      <c r="C36" s="4" t="n">
        <v>33</v>
      </c>
      <c r="D36" s="4" t="s">
        <v>104</v>
      </c>
      <c r="E36" s="4" t="s">
        <v>105</v>
      </c>
      <c r="F36" s="4" t="s">
        <v>42</v>
      </c>
      <c r="G36" s="12" t="s">
        <v>37</v>
      </c>
      <c r="H36" s="4" t="n">
        <v>1</v>
      </c>
      <c r="I36" s="13" t="n">
        <v>265</v>
      </c>
      <c r="J36" s="14" t="n">
        <v>0.25</v>
      </c>
      <c r="K36" s="5" t="n">
        <v>66.25</v>
      </c>
      <c r="L36" s="12" t="s">
        <v>38</v>
      </c>
      <c r="M36" s="4" t="n">
        <v>0</v>
      </c>
      <c r="N36" s="5" t="n">
        <f aca="false">K36*M36</f>
        <v>0</v>
      </c>
      <c r="O36" s="15" t="s">
        <v>77</v>
      </c>
    </row>
    <row r="37" customFormat="false" ht="15" hidden="false" customHeight="false" outlineLevel="0" collapsed="false">
      <c r="A37" s="4" t="n">
        <v>1239</v>
      </c>
      <c r="B37" s="4" t="s">
        <v>7</v>
      </c>
      <c r="C37" s="4" t="n">
        <v>34</v>
      </c>
      <c r="D37" s="4" t="s">
        <v>106</v>
      </c>
      <c r="E37" s="4" t="s">
        <v>107</v>
      </c>
      <c r="F37" s="4" t="s">
        <v>36</v>
      </c>
      <c r="G37" s="12" t="s">
        <v>37</v>
      </c>
      <c r="H37" s="4" t="n">
        <v>1</v>
      </c>
      <c r="I37" s="13" t="n">
        <v>200</v>
      </c>
      <c r="J37" s="14" t="n">
        <v>0.25</v>
      </c>
      <c r="K37" s="5" t="n">
        <v>50</v>
      </c>
      <c r="L37" s="12" t="s">
        <v>38</v>
      </c>
      <c r="M37" s="4" t="n">
        <v>0</v>
      </c>
      <c r="N37" s="5" t="n">
        <f aca="false">K37*M37</f>
        <v>0</v>
      </c>
      <c r="O37" s="15" t="s">
        <v>77</v>
      </c>
    </row>
    <row r="38" customFormat="false" ht="15" hidden="false" customHeight="false" outlineLevel="0" collapsed="false">
      <c r="A38" s="4" t="n">
        <v>1239</v>
      </c>
      <c r="B38" s="4" t="s">
        <v>7</v>
      </c>
      <c r="C38" s="4" t="n">
        <v>35</v>
      </c>
      <c r="D38" s="4" t="s">
        <v>106</v>
      </c>
      <c r="E38" s="4" t="s">
        <v>107</v>
      </c>
      <c r="F38" s="4" t="s">
        <v>44</v>
      </c>
      <c r="G38" s="12" t="s">
        <v>45</v>
      </c>
      <c r="H38" s="4" t="n">
        <v>1</v>
      </c>
      <c r="I38" s="13" t="n">
        <v>100</v>
      </c>
      <c r="J38" s="14" t="n">
        <v>0.25</v>
      </c>
      <c r="K38" s="5" t="n">
        <v>25</v>
      </c>
      <c r="L38" s="12" t="s">
        <v>38</v>
      </c>
      <c r="M38" s="4" t="n">
        <v>0</v>
      </c>
      <c r="N38" s="5" t="n">
        <f aca="false">K38*M38</f>
        <v>0</v>
      </c>
      <c r="O38" s="15" t="s">
        <v>77</v>
      </c>
    </row>
    <row r="39" customFormat="false" ht="15" hidden="false" customHeight="false" outlineLevel="0" collapsed="false">
      <c r="A39" s="4" t="n">
        <v>1239</v>
      </c>
      <c r="B39" s="4" t="s">
        <v>7</v>
      </c>
      <c r="C39" s="4" t="n">
        <v>36</v>
      </c>
      <c r="D39" s="4" t="s">
        <v>108</v>
      </c>
      <c r="E39" s="4" t="s">
        <v>109</v>
      </c>
      <c r="F39" s="4" t="s">
        <v>36</v>
      </c>
      <c r="G39" s="12" t="s">
        <v>37</v>
      </c>
      <c r="H39" s="4" t="n">
        <v>1</v>
      </c>
      <c r="I39" s="13" t="n">
        <v>300</v>
      </c>
      <c r="J39" s="14" t="n">
        <v>0.2</v>
      </c>
      <c r="K39" s="5" t="n">
        <v>60</v>
      </c>
      <c r="L39" s="12" t="s">
        <v>38</v>
      </c>
      <c r="M39" s="4" t="n">
        <v>0</v>
      </c>
      <c r="N39" s="5" t="n">
        <f aca="false">K39*M39</f>
        <v>0</v>
      </c>
      <c r="O39" s="15" t="s">
        <v>77</v>
      </c>
    </row>
    <row r="40" customFormat="false" ht="15" hidden="false" customHeight="false" outlineLevel="0" collapsed="false">
      <c r="A40" s="4" t="n">
        <v>1239</v>
      </c>
      <c r="B40" s="4" t="s">
        <v>7</v>
      </c>
      <c r="C40" s="4" t="n">
        <v>37</v>
      </c>
      <c r="D40" s="4" t="s">
        <v>110</v>
      </c>
      <c r="E40" s="4" t="s">
        <v>111</v>
      </c>
      <c r="F40" s="4" t="s">
        <v>42</v>
      </c>
      <c r="G40" s="12" t="s">
        <v>37</v>
      </c>
      <c r="H40" s="4" t="n">
        <v>1</v>
      </c>
      <c r="I40" s="13" t="n">
        <v>200</v>
      </c>
      <c r="J40" s="14" t="n">
        <v>0.25</v>
      </c>
      <c r="K40" s="5" t="n">
        <v>50</v>
      </c>
      <c r="L40" s="12" t="s">
        <v>38</v>
      </c>
      <c r="M40" s="4" t="n">
        <v>0</v>
      </c>
      <c r="N40" s="5" t="n">
        <f aca="false">K40*M40</f>
        <v>0</v>
      </c>
      <c r="O40" s="15" t="s">
        <v>43</v>
      </c>
    </row>
    <row r="41" customFormat="false" ht="15" hidden="false" customHeight="false" outlineLevel="0" collapsed="false">
      <c r="A41" s="4" t="n">
        <v>1239</v>
      </c>
      <c r="B41" s="4" t="s">
        <v>7</v>
      </c>
      <c r="C41" s="4" t="n">
        <v>38</v>
      </c>
      <c r="D41" s="4" t="s">
        <v>112</v>
      </c>
      <c r="E41" s="4" t="s">
        <v>113</v>
      </c>
      <c r="F41" s="4" t="s">
        <v>42</v>
      </c>
      <c r="G41" s="12" t="s">
        <v>37</v>
      </c>
      <c r="H41" s="4" t="n">
        <v>1</v>
      </c>
      <c r="I41" s="13" t="n">
        <v>200</v>
      </c>
      <c r="J41" s="14" t="n">
        <v>0.25</v>
      </c>
      <c r="K41" s="5" t="n">
        <v>50</v>
      </c>
      <c r="L41" s="12" t="s">
        <v>38</v>
      </c>
      <c r="M41" s="4" t="n">
        <v>0</v>
      </c>
      <c r="N41" s="5" t="n">
        <f aca="false">K41*M41</f>
        <v>0</v>
      </c>
      <c r="O41" s="15" t="s">
        <v>43</v>
      </c>
    </row>
    <row r="42" customFormat="false" ht="15" hidden="false" customHeight="false" outlineLevel="0" collapsed="false">
      <c r="A42" s="4" t="n">
        <v>1239</v>
      </c>
      <c r="B42" s="4" t="s">
        <v>7</v>
      </c>
      <c r="C42" s="4" t="n">
        <v>39</v>
      </c>
      <c r="D42" s="4" t="s">
        <v>114</v>
      </c>
      <c r="E42" s="4" t="s">
        <v>115</v>
      </c>
      <c r="F42" s="4" t="s">
        <v>44</v>
      </c>
      <c r="G42" s="12" t="s">
        <v>37</v>
      </c>
      <c r="H42" s="4" t="n">
        <v>1</v>
      </c>
      <c r="I42" s="13" t="n">
        <v>150</v>
      </c>
      <c r="J42" s="14" t="n">
        <v>0.25</v>
      </c>
      <c r="K42" s="5" t="n">
        <v>37.5</v>
      </c>
      <c r="L42" s="12" t="s">
        <v>38</v>
      </c>
      <c r="M42" s="4" t="n">
        <v>0</v>
      </c>
      <c r="N42" s="5" t="n">
        <f aca="false">K42*M42</f>
        <v>0</v>
      </c>
      <c r="O42" s="15" t="s">
        <v>77</v>
      </c>
    </row>
    <row r="43" customFormat="false" ht="15" hidden="false" customHeight="false" outlineLevel="0" collapsed="false">
      <c r="A43" s="4" t="n">
        <v>1239</v>
      </c>
      <c r="B43" s="4" t="s">
        <v>7</v>
      </c>
      <c r="C43" s="4" t="n">
        <v>40</v>
      </c>
      <c r="D43" s="4" t="s">
        <v>116</v>
      </c>
      <c r="E43" s="4" t="s">
        <v>117</v>
      </c>
      <c r="F43" s="4" t="s">
        <v>42</v>
      </c>
      <c r="G43" s="12" t="s">
        <v>37</v>
      </c>
      <c r="H43" s="4" t="n">
        <v>1</v>
      </c>
      <c r="I43" s="13" t="n">
        <v>270</v>
      </c>
      <c r="J43" s="14" t="n">
        <v>0.3</v>
      </c>
      <c r="K43" s="5" t="n">
        <v>81</v>
      </c>
      <c r="L43" s="12" t="s">
        <v>38</v>
      </c>
      <c r="M43" s="4" t="n">
        <v>12</v>
      </c>
      <c r="N43" s="5" t="n">
        <f aca="false">K43*M43</f>
        <v>972</v>
      </c>
      <c r="O43" s="16" t="s">
        <v>50</v>
      </c>
    </row>
    <row r="44" customFormat="false" ht="15" hidden="false" customHeight="false" outlineLevel="0" collapsed="false">
      <c r="A44" s="4" t="n">
        <v>1239</v>
      </c>
      <c r="B44" s="4" t="s">
        <v>7</v>
      </c>
      <c r="C44" s="4" t="n">
        <v>41</v>
      </c>
      <c r="D44" s="4" t="s">
        <v>118</v>
      </c>
      <c r="E44" s="4" t="s">
        <v>119</v>
      </c>
      <c r="F44" s="4" t="s">
        <v>36</v>
      </c>
      <c r="G44" s="12" t="s">
        <v>37</v>
      </c>
      <c r="H44" s="4" t="n">
        <v>1</v>
      </c>
      <c r="I44" s="13" t="n">
        <v>400</v>
      </c>
      <c r="J44" s="14" t="n">
        <v>0.2</v>
      </c>
      <c r="K44" s="5" t="n">
        <v>80</v>
      </c>
      <c r="L44" s="12" t="s">
        <v>38</v>
      </c>
      <c r="M44" s="4" t="n">
        <v>0</v>
      </c>
      <c r="N44" s="5" t="n">
        <f aca="false">K44*M44</f>
        <v>0</v>
      </c>
      <c r="O44" s="15" t="s">
        <v>43</v>
      </c>
    </row>
    <row r="45" customFormat="false" ht="15" hidden="false" customHeight="false" outlineLevel="0" collapsed="false">
      <c r="A45" s="4" t="n">
        <v>1239</v>
      </c>
      <c r="B45" s="4" t="s">
        <v>7</v>
      </c>
      <c r="C45" s="4" t="n">
        <v>42</v>
      </c>
      <c r="D45" s="4" t="s">
        <v>120</v>
      </c>
      <c r="E45" s="4" t="s">
        <v>121</v>
      </c>
      <c r="F45" s="4" t="s">
        <v>36</v>
      </c>
      <c r="G45" s="12" t="s">
        <v>37</v>
      </c>
      <c r="H45" s="4" t="n">
        <v>1</v>
      </c>
      <c r="I45" s="13" t="n">
        <v>200</v>
      </c>
      <c r="J45" s="14" t="n">
        <v>0.25</v>
      </c>
      <c r="K45" s="5" t="n">
        <v>50</v>
      </c>
      <c r="L45" s="12" t="s">
        <v>38</v>
      </c>
      <c r="M45" s="4" t="n">
        <v>0</v>
      </c>
      <c r="N45" s="5" t="n">
        <f aca="false">K45*M45</f>
        <v>0</v>
      </c>
      <c r="O45" s="15" t="s">
        <v>43</v>
      </c>
    </row>
    <row r="46" customFormat="false" ht="15" hidden="false" customHeight="false" outlineLevel="0" collapsed="false">
      <c r="A46" s="4" t="n">
        <v>1239</v>
      </c>
      <c r="B46" s="4" t="s">
        <v>7</v>
      </c>
      <c r="C46" s="4" t="n">
        <v>43</v>
      </c>
      <c r="D46" s="4" t="s">
        <v>71</v>
      </c>
      <c r="E46" s="4" t="s">
        <v>72</v>
      </c>
      <c r="F46" s="4" t="s">
        <v>44</v>
      </c>
      <c r="G46" s="12" t="s">
        <v>45</v>
      </c>
      <c r="H46" s="4" t="n">
        <v>1</v>
      </c>
      <c r="I46" s="13" t="n">
        <v>50</v>
      </c>
      <c r="J46" s="14" t="n">
        <v>0.3</v>
      </c>
      <c r="K46" s="5" t="n">
        <v>15</v>
      </c>
      <c r="L46" s="12" t="s">
        <v>38</v>
      </c>
      <c r="M46" s="4" t="n">
        <v>12</v>
      </c>
      <c r="N46" s="5" t="n">
        <f aca="false">K46*M46</f>
        <v>180</v>
      </c>
      <c r="O46" s="16" t="s">
        <v>50</v>
      </c>
    </row>
    <row r="47" customFormat="false" ht="15" hidden="false" customHeight="false" outlineLevel="0" collapsed="false">
      <c r="A47" s="4" t="n">
        <v>1239</v>
      </c>
      <c r="B47" s="4" t="s">
        <v>7</v>
      </c>
      <c r="C47" s="4" t="n">
        <v>44</v>
      </c>
      <c r="D47" s="4" t="s">
        <v>84</v>
      </c>
      <c r="E47" s="4" t="s">
        <v>85</v>
      </c>
      <c r="F47" s="4" t="s">
        <v>44</v>
      </c>
      <c r="G47" s="12" t="s">
        <v>45</v>
      </c>
      <c r="H47" s="4" t="n">
        <v>1</v>
      </c>
      <c r="I47" s="13" t="n">
        <v>2100</v>
      </c>
      <c r="J47" s="14" t="n">
        <v>0.25</v>
      </c>
      <c r="K47" s="5" t="n">
        <v>525</v>
      </c>
      <c r="L47" s="12" t="s">
        <v>38</v>
      </c>
      <c r="M47" s="4" t="n">
        <v>12</v>
      </c>
      <c r="N47" s="5" t="n">
        <f aca="false">K47*M47</f>
        <v>6300</v>
      </c>
      <c r="O47" s="16" t="s">
        <v>50</v>
      </c>
    </row>
    <row r="48" customFormat="false" ht="15" hidden="false" customHeight="false" outlineLevel="0" collapsed="false">
      <c r="A48" s="4" t="n">
        <v>1239</v>
      </c>
      <c r="B48" s="4" t="s">
        <v>7</v>
      </c>
      <c r="C48" s="4" t="n">
        <v>45</v>
      </c>
      <c r="D48" s="4" t="s">
        <v>122</v>
      </c>
      <c r="E48" s="4" t="s">
        <v>123</v>
      </c>
      <c r="F48" s="4" t="s">
        <v>36</v>
      </c>
      <c r="G48" s="12" t="s">
        <v>37</v>
      </c>
      <c r="H48" s="4" t="n">
        <v>1</v>
      </c>
      <c r="I48" s="13" t="n">
        <v>400</v>
      </c>
      <c r="J48" s="14" t="n">
        <v>0.3</v>
      </c>
      <c r="K48" s="5" t="n">
        <v>120</v>
      </c>
      <c r="L48" s="12" t="s">
        <v>38</v>
      </c>
      <c r="M48" s="4" t="n">
        <v>12</v>
      </c>
      <c r="N48" s="5" t="n">
        <f aca="false">K48*M48</f>
        <v>1440</v>
      </c>
      <c r="O48" s="16" t="s">
        <v>50</v>
      </c>
    </row>
    <row r="49" customFormat="false" ht="15" hidden="false" customHeight="false" outlineLevel="0" collapsed="false">
      <c r="A49" s="4" t="n">
        <v>1239</v>
      </c>
      <c r="B49" s="4" t="s">
        <v>7</v>
      </c>
      <c r="C49" s="4" t="n">
        <v>46</v>
      </c>
      <c r="D49" s="4" t="s">
        <v>124</v>
      </c>
      <c r="E49" s="4" t="s">
        <v>125</v>
      </c>
      <c r="F49" s="4" t="s">
        <v>42</v>
      </c>
      <c r="G49" s="12" t="s">
        <v>37</v>
      </c>
      <c r="H49" s="4" t="n">
        <v>1</v>
      </c>
      <c r="I49" s="13" t="n">
        <v>200</v>
      </c>
      <c r="J49" s="14" t="n">
        <v>0.25</v>
      </c>
      <c r="K49" s="5" t="n">
        <v>50</v>
      </c>
      <c r="L49" s="12" t="s">
        <v>38</v>
      </c>
      <c r="M49" s="4" t="n">
        <v>0</v>
      </c>
      <c r="N49" s="5" t="n">
        <f aca="false">K49*M49</f>
        <v>0</v>
      </c>
      <c r="O49" s="15" t="s">
        <v>39</v>
      </c>
    </row>
    <row r="50" customFormat="false" ht="15" hidden="false" customHeight="false" outlineLevel="0" collapsed="false">
      <c r="A50" s="4" t="n">
        <v>1239</v>
      </c>
      <c r="B50" s="4" t="s">
        <v>7</v>
      </c>
      <c r="C50" s="4" t="n">
        <v>47</v>
      </c>
      <c r="D50" s="4" t="s">
        <v>126</v>
      </c>
      <c r="E50" s="4" t="s">
        <v>127</v>
      </c>
      <c r="F50" s="4" t="s">
        <v>42</v>
      </c>
      <c r="G50" s="12" t="s">
        <v>37</v>
      </c>
      <c r="H50" s="4" t="n">
        <v>1</v>
      </c>
      <c r="I50" s="13" t="n">
        <v>320</v>
      </c>
      <c r="J50" s="14" t="n">
        <v>0.3</v>
      </c>
      <c r="K50" s="5" t="n">
        <v>96</v>
      </c>
      <c r="L50" s="12" t="s">
        <v>38</v>
      </c>
      <c r="M50" s="4" t="n">
        <v>12</v>
      </c>
      <c r="N50" s="5" t="n">
        <f aca="false">K50*M50</f>
        <v>1152</v>
      </c>
      <c r="O50" s="16" t="s">
        <v>50</v>
      </c>
    </row>
    <row r="51" customFormat="false" ht="15" hidden="false" customHeight="false" outlineLevel="0" collapsed="false">
      <c r="A51" s="4" t="n">
        <v>1239</v>
      </c>
      <c r="B51" s="4" t="s">
        <v>7</v>
      </c>
      <c r="C51" s="4" t="n">
        <v>48</v>
      </c>
      <c r="D51" s="4" t="s">
        <v>128</v>
      </c>
      <c r="E51" s="4" t="s">
        <v>129</v>
      </c>
      <c r="F51" s="4" t="s">
        <v>36</v>
      </c>
      <c r="G51" s="12" t="s">
        <v>37</v>
      </c>
      <c r="H51" s="4" t="n">
        <v>1</v>
      </c>
      <c r="I51" s="13" t="n">
        <v>200</v>
      </c>
      <c r="J51" s="14" t="n">
        <v>0.25</v>
      </c>
      <c r="K51" s="5" t="n">
        <v>50</v>
      </c>
      <c r="L51" s="12" t="s">
        <v>38</v>
      </c>
      <c r="M51" s="4" t="n">
        <v>0</v>
      </c>
      <c r="N51" s="5" t="n">
        <f aca="false">K51*M51</f>
        <v>0</v>
      </c>
      <c r="O51" s="15" t="s">
        <v>77</v>
      </c>
    </row>
    <row r="52" customFormat="false" ht="15" hidden="false" customHeight="false" outlineLevel="0" collapsed="false">
      <c r="A52" s="4" t="n">
        <v>1239</v>
      </c>
      <c r="B52" s="4" t="s">
        <v>7</v>
      </c>
      <c r="C52" s="4" t="n">
        <v>49</v>
      </c>
      <c r="D52" s="4" t="s">
        <v>130</v>
      </c>
      <c r="E52" s="4" t="s">
        <v>131</v>
      </c>
      <c r="F52" s="4" t="s">
        <v>42</v>
      </c>
      <c r="G52" s="12" t="s">
        <v>37</v>
      </c>
      <c r="H52" s="4" t="n">
        <v>1</v>
      </c>
      <c r="I52" s="13" t="n">
        <v>300</v>
      </c>
      <c r="J52" s="14" t="n">
        <v>0.3</v>
      </c>
      <c r="K52" s="5" t="n">
        <v>90</v>
      </c>
      <c r="L52" s="12" t="s">
        <v>38</v>
      </c>
      <c r="M52" s="4" t="n">
        <v>12</v>
      </c>
      <c r="N52" s="5" t="n">
        <f aca="false">K52*M52</f>
        <v>1080</v>
      </c>
      <c r="O52" s="16" t="s">
        <v>50</v>
      </c>
    </row>
    <row r="53" customFormat="false" ht="15" hidden="false" customHeight="false" outlineLevel="0" collapsed="false">
      <c r="A53" s="4" t="n">
        <v>1239</v>
      </c>
      <c r="B53" s="4" t="s">
        <v>7</v>
      </c>
      <c r="C53" s="4" t="n">
        <v>50</v>
      </c>
      <c r="D53" s="4" t="s">
        <v>132</v>
      </c>
      <c r="E53" s="4" t="s">
        <v>133</v>
      </c>
      <c r="F53" s="4" t="s">
        <v>44</v>
      </c>
      <c r="G53" s="12" t="s">
        <v>37</v>
      </c>
      <c r="H53" s="4" t="n">
        <v>1</v>
      </c>
      <c r="I53" s="13" t="n">
        <v>200</v>
      </c>
      <c r="J53" s="14" t="n">
        <v>0.2</v>
      </c>
      <c r="K53" s="5" t="n">
        <v>40</v>
      </c>
      <c r="L53" s="12" t="s">
        <v>38</v>
      </c>
      <c r="M53" s="4" t="n">
        <v>0</v>
      </c>
      <c r="N53" s="5" t="n">
        <f aca="false">K53*M53</f>
        <v>0</v>
      </c>
      <c r="O53" s="15" t="s">
        <v>39</v>
      </c>
    </row>
    <row r="54" customFormat="false" ht="15" hidden="false" customHeight="false" outlineLevel="0" collapsed="false">
      <c r="A54" s="4" t="n">
        <v>1239</v>
      </c>
      <c r="B54" s="4" t="s">
        <v>7</v>
      </c>
      <c r="C54" s="4" t="n">
        <v>51</v>
      </c>
      <c r="D54" s="4" t="s">
        <v>134</v>
      </c>
      <c r="E54" s="4" t="s">
        <v>135</v>
      </c>
      <c r="F54" s="4" t="s">
        <v>44</v>
      </c>
      <c r="G54" s="12" t="s">
        <v>37</v>
      </c>
      <c r="H54" s="4" t="n">
        <v>1</v>
      </c>
      <c r="I54" s="13" t="n">
        <v>200</v>
      </c>
      <c r="J54" s="14" t="n">
        <v>0.25</v>
      </c>
      <c r="K54" s="5" t="n">
        <v>50</v>
      </c>
      <c r="L54" s="12" t="s">
        <v>38</v>
      </c>
      <c r="M54" s="4" t="n">
        <v>12</v>
      </c>
      <c r="N54" s="5" t="n">
        <f aca="false">K54*M54</f>
        <v>600</v>
      </c>
      <c r="O54" s="16" t="s">
        <v>50</v>
      </c>
    </row>
    <row r="55" customFormat="false" ht="15" hidden="false" customHeight="false" outlineLevel="0" collapsed="false">
      <c r="A55" s="4" t="n">
        <v>1239</v>
      </c>
      <c r="B55" s="4" t="s">
        <v>7</v>
      </c>
      <c r="C55" s="4" t="n">
        <v>52</v>
      </c>
      <c r="D55" s="4" t="s">
        <v>136</v>
      </c>
      <c r="E55" s="4" t="s">
        <v>137</v>
      </c>
      <c r="F55" s="4" t="s">
        <v>42</v>
      </c>
      <c r="G55" s="12" t="s">
        <v>37</v>
      </c>
      <c r="H55" s="4" t="n">
        <v>1</v>
      </c>
      <c r="I55" s="13" t="n">
        <v>300</v>
      </c>
      <c r="J55" s="14" t="n">
        <v>0.25</v>
      </c>
      <c r="K55" s="5" t="n">
        <v>75</v>
      </c>
      <c r="L55" s="12" t="s">
        <v>38</v>
      </c>
      <c r="M55" s="4" t="n">
        <v>12</v>
      </c>
      <c r="N55" s="5" t="n">
        <f aca="false">K55*M55</f>
        <v>900</v>
      </c>
      <c r="O55" s="16" t="s">
        <v>50</v>
      </c>
    </row>
    <row r="56" customFormat="false" ht="15" hidden="false" customHeight="false" outlineLevel="0" collapsed="false">
      <c r="A56" s="4" t="n">
        <v>1289</v>
      </c>
      <c r="B56" s="4" t="s">
        <v>8</v>
      </c>
      <c r="C56" s="4" t="n">
        <v>53</v>
      </c>
      <c r="D56" s="4" t="s">
        <v>78</v>
      </c>
      <c r="E56" s="4" t="s">
        <v>79</v>
      </c>
      <c r="F56" s="4" t="s">
        <v>44</v>
      </c>
      <c r="G56" s="12" t="s">
        <v>37</v>
      </c>
      <c r="H56" s="4" t="n">
        <v>1</v>
      </c>
      <c r="I56" s="13" t="n">
        <v>300</v>
      </c>
      <c r="J56" s="14" t="n">
        <v>0.35</v>
      </c>
      <c r="K56" s="5" t="n">
        <v>105</v>
      </c>
      <c r="L56" s="12" t="s">
        <v>38</v>
      </c>
      <c r="M56" s="4" t="n">
        <v>12</v>
      </c>
      <c r="N56" s="5" t="n">
        <f aca="false">K56*M56</f>
        <v>1260</v>
      </c>
      <c r="O56" s="16" t="s">
        <v>50</v>
      </c>
    </row>
    <row r="57" customFormat="false" ht="15" hidden="false" customHeight="false" outlineLevel="0" collapsed="false">
      <c r="A57" s="4" t="n">
        <v>1289</v>
      </c>
      <c r="B57" s="4" t="s">
        <v>8</v>
      </c>
      <c r="C57" s="4" t="n">
        <v>54</v>
      </c>
      <c r="D57" s="4" t="s">
        <v>90</v>
      </c>
      <c r="E57" s="4" t="s">
        <v>91</v>
      </c>
      <c r="F57" s="4" t="s">
        <v>44</v>
      </c>
      <c r="G57" s="12" t="s">
        <v>37</v>
      </c>
      <c r="H57" s="4" t="n">
        <v>1</v>
      </c>
      <c r="I57" s="13" t="n">
        <v>200</v>
      </c>
      <c r="J57" s="14" t="n">
        <v>0.35</v>
      </c>
      <c r="K57" s="5" t="n">
        <v>70</v>
      </c>
      <c r="L57" s="12" t="s">
        <v>38</v>
      </c>
      <c r="M57" s="4" t="n">
        <v>0</v>
      </c>
      <c r="N57" s="5" t="n">
        <f aca="false">K57*M57</f>
        <v>0</v>
      </c>
      <c r="O57" s="15" t="s">
        <v>39</v>
      </c>
    </row>
    <row r="58" customFormat="false" ht="15" hidden="false" customHeight="false" outlineLevel="0" collapsed="false">
      <c r="A58" s="4" t="n">
        <v>1289</v>
      </c>
      <c r="B58" s="4" t="s">
        <v>8</v>
      </c>
      <c r="C58" s="4" t="n">
        <v>55</v>
      </c>
      <c r="D58" s="4" t="s">
        <v>100</v>
      </c>
      <c r="E58" s="4" t="s">
        <v>101</v>
      </c>
      <c r="F58" s="4" t="s">
        <v>44</v>
      </c>
      <c r="G58" s="12" t="s">
        <v>37</v>
      </c>
      <c r="H58" s="4" t="n">
        <v>1</v>
      </c>
      <c r="I58" s="13" t="n">
        <v>200</v>
      </c>
      <c r="J58" s="14" t="n">
        <v>0.35</v>
      </c>
      <c r="K58" s="5" t="n">
        <v>70</v>
      </c>
      <c r="L58" s="12" t="s">
        <v>38</v>
      </c>
      <c r="M58" s="4" t="n">
        <v>0</v>
      </c>
      <c r="N58" s="5" t="n">
        <f aca="false">K58*M58</f>
        <v>0</v>
      </c>
      <c r="O58" s="15" t="s">
        <v>39</v>
      </c>
    </row>
    <row r="59" customFormat="false" ht="15" hidden="false" customHeight="false" outlineLevel="0" collapsed="false">
      <c r="A59" s="4" t="n">
        <v>1460</v>
      </c>
      <c r="B59" s="4" t="s">
        <v>9</v>
      </c>
      <c r="C59" s="4" t="n">
        <v>56</v>
      </c>
      <c r="D59" s="4" t="s">
        <v>65</v>
      </c>
      <c r="E59" s="4" t="s">
        <v>66</v>
      </c>
      <c r="F59" s="4" t="s">
        <v>44</v>
      </c>
      <c r="G59" s="12" t="s">
        <v>37</v>
      </c>
      <c r="H59" s="4" t="n">
        <v>1</v>
      </c>
      <c r="I59" s="13" t="n">
        <v>100</v>
      </c>
      <c r="J59" s="14" t="n">
        <v>0.4</v>
      </c>
      <c r="K59" s="5" t="n">
        <v>40</v>
      </c>
      <c r="L59" s="12" t="s">
        <v>38</v>
      </c>
      <c r="M59" s="4" t="n">
        <v>0</v>
      </c>
      <c r="N59" s="5" t="n">
        <f aca="false">K59*M59</f>
        <v>0</v>
      </c>
      <c r="O59" s="15" t="s">
        <v>43</v>
      </c>
    </row>
    <row r="60" customFormat="false" ht="15" hidden="false" customHeight="false" outlineLevel="0" collapsed="false">
      <c r="A60" s="4" t="n">
        <v>1460</v>
      </c>
      <c r="B60" s="4" t="s">
        <v>9</v>
      </c>
      <c r="C60" s="4" t="n">
        <v>57</v>
      </c>
      <c r="D60" s="4" t="s">
        <v>134</v>
      </c>
      <c r="E60" s="4" t="s">
        <v>135</v>
      </c>
      <c r="F60" s="4" t="s">
        <v>44</v>
      </c>
      <c r="G60" s="12" t="s">
        <v>37</v>
      </c>
      <c r="H60" s="4" t="n">
        <v>1</v>
      </c>
      <c r="I60" s="13" t="n">
        <v>200</v>
      </c>
      <c r="J60" s="14" t="n">
        <v>0.4</v>
      </c>
      <c r="K60" s="5" t="n">
        <v>80</v>
      </c>
      <c r="L60" s="12" t="s">
        <v>38</v>
      </c>
      <c r="M60" s="4" t="n">
        <v>12</v>
      </c>
      <c r="N60" s="5" t="n">
        <f aca="false">K60*M60</f>
        <v>960</v>
      </c>
      <c r="O60" s="16" t="s">
        <v>50</v>
      </c>
    </row>
    <row r="61" customFormat="false" ht="15" hidden="false" customHeight="false" outlineLevel="0" collapsed="false">
      <c r="A61" s="4" t="n">
        <v>1526</v>
      </c>
      <c r="B61" s="4" t="s">
        <v>10</v>
      </c>
      <c r="C61" s="4" t="n">
        <v>58</v>
      </c>
      <c r="D61" s="4" t="s">
        <v>80</v>
      </c>
      <c r="E61" s="4" t="s">
        <v>81</v>
      </c>
      <c r="F61" s="4" t="s">
        <v>44</v>
      </c>
      <c r="G61" s="12" t="s">
        <v>37</v>
      </c>
      <c r="H61" s="4" t="n">
        <v>1</v>
      </c>
      <c r="I61" s="13" t="n">
        <v>300</v>
      </c>
      <c r="J61" s="14" t="n">
        <v>0.35</v>
      </c>
      <c r="K61" s="5" t="n">
        <v>105</v>
      </c>
      <c r="L61" s="12" t="s">
        <v>38</v>
      </c>
      <c r="M61" s="4" t="n">
        <v>12</v>
      </c>
      <c r="N61" s="5" t="n">
        <f aca="false">K61*M61</f>
        <v>1260</v>
      </c>
      <c r="O61" s="16" t="s">
        <v>50</v>
      </c>
    </row>
    <row r="62" customFormat="false" ht="15" hidden="false" customHeight="false" outlineLevel="0" collapsed="false">
      <c r="A62" s="4" t="n">
        <v>1556</v>
      </c>
      <c r="B62" s="4" t="s">
        <v>11</v>
      </c>
      <c r="C62" s="4" t="n">
        <v>59</v>
      </c>
      <c r="D62" s="4" t="s">
        <v>71</v>
      </c>
      <c r="E62" s="4" t="s">
        <v>72</v>
      </c>
      <c r="F62" s="4" t="s">
        <v>36</v>
      </c>
      <c r="G62" s="12" t="s">
        <v>37</v>
      </c>
      <c r="H62" s="4" t="n">
        <v>1</v>
      </c>
      <c r="I62" s="13" t="n">
        <v>200</v>
      </c>
      <c r="J62" s="14" t="n">
        <v>0.25</v>
      </c>
      <c r="K62" s="5" t="n">
        <v>50</v>
      </c>
      <c r="L62" s="12" t="s">
        <v>38</v>
      </c>
      <c r="M62" s="4" t="n">
        <v>12</v>
      </c>
      <c r="N62" s="5" t="n">
        <f aca="false">K62*M62</f>
        <v>600</v>
      </c>
      <c r="O62" s="16" t="s">
        <v>50</v>
      </c>
    </row>
    <row r="63" customFormat="false" ht="15" hidden="false" customHeight="false" outlineLevel="0" collapsed="false">
      <c r="A63" s="4" t="n">
        <v>1556</v>
      </c>
      <c r="B63" s="4" t="s">
        <v>11</v>
      </c>
      <c r="C63" s="4" t="n">
        <v>60</v>
      </c>
      <c r="D63" s="4" t="s">
        <v>71</v>
      </c>
      <c r="E63" s="4" t="s">
        <v>72</v>
      </c>
      <c r="F63" s="4" t="s">
        <v>44</v>
      </c>
      <c r="G63" s="12" t="s">
        <v>45</v>
      </c>
      <c r="H63" s="4" t="n">
        <v>1</v>
      </c>
      <c r="I63" s="13" t="n">
        <v>50</v>
      </c>
      <c r="J63" s="14" t="n">
        <v>0.35</v>
      </c>
      <c r="K63" s="5" t="n">
        <v>17.5</v>
      </c>
      <c r="L63" s="12" t="s">
        <v>38</v>
      </c>
      <c r="M63" s="4" t="n">
        <v>12</v>
      </c>
      <c r="N63" s="5" t="n">
        <f aca="false">K63*M63</f>
        <v>210</v>
      </c>
      <c r="O63" s="16" t="s">
        <v>50</v>
      </c>
    </row>
    <row r="64" customFormat="false" ht="15" hidden="false" customHeight="false" outlineLevel="0" collapsed="false">
      <c r="A64" s="4" t="n">
        <v>1675</v>
      </c>
      <c r="B64" s="4" t="s">
        <v>12</v>
      </c>
      <c r="C64" s="4" t="n">
        <v>61</v>
      </c>
      <c r="D64" s="4" t="s">
        <v>55</v>
      </c>
      <c r="E64" s="4" t="s">
        <v>56</v>
      </c>
      <c r="F64" s="4" t="s">
        <v>44</v>
      </c>
      <c r="G64" s="12" t="s">
        <v>37</v>
      </c>
      <c r="H64" s="4" t="n">
        <v>1</v>
      </c>
      <c r="I64" s="13" t="n">
        <v>320</v>
      </c>
      <c r="J64" s="14" t="n">
        <v>0.55</v>
      </c>
      <c r="K64" s="5" t="n">
        <v>176</v>
      </c>
      <c r="L64" s="12" t="s">
        <v>38</v>
      </c>
      <c r="M64" s="4" t="n">
        <v>12</v>
      </c>
      <c r="N64" s="5" t="n">
        <f aca="false">K64*M64</f>
        <v>2112</v>
      </c>
      <c r="O64" s="16" t="s">
        <v>50</v>
      </c>
    </row>
    <row r="65" customFormat="false" ht="15" hidden="false" customHeight="false" outlineLevel="0" collapsed="false">
      <c r="A65" s="4" t="n">
        <v>1675</v>
      </c>
      <c r="B65" s="4" t="s">
        <v>12</v>
      </c>
      <c r="C65" s="4" t="n">
        <v>62</v>
      </c>
      <c r="D65" s="4" t="s">
        <v>102</v>
      </c>
      <c r="E65" s="4" t="s">
        <v>103</v>
      </c>
      <c r="F65" s="4" t="s">
        <v>44</v>
      </c>
      <c r="G65" s="12" t="s">
        <v>37</v>
      </c>
      <c r="H65" s="4" t="n">
        <v>1</v>
      </c>
      <c r="I65" s="13" t="n">
        <v>320</v>
      </c>
      <c r="J65" s="14" t="n">
        <v>0.55</v>
      </c>
      <c r="K65" s="5" t="n">
        <v>176</v>
      </c>
      <c r="L65" s="12" t="s">
        <v>38</v>
      </c>
      <c r="M65" s="4" t="n">
        <v>12</v>
      </c>
      <c r="N65" s="5" t="n">
        <f aca="false">K65*M65</f>
        <v>2112</v>
      </c>
      <c r="O65" s="16" t="s">
        <v>50</v>
      </c>
    </row>
    <row r="66" customFormat="false" ht="15" hidden="false" customHeight="false" outlineLevel="0" collapsed="false">
      <c r="A66" s="4" t="n">
        <v>1706</v>
      </c>
      <c r="B66" s="4" t="s">
        <v>13</v>
      </c>
      <c r="C66" s="4" t="n">
        <v>63</v>
      </c>
      <c r="D66" s="4" t="s">
        <v>40</v>
      </c>
      <c r="E66" s="4" t="s">
        <v>41</v>
      </c>
      <c r="F66" s="4" t="s">
        <v>42</v>
      </c>
      <c r="G66" s="12" t="s">
        <v>37</v>
      </c>
      <c r="H66" s="4" t="n">
        <v>1</v>
      </c>
      <c r="I66" s="13" t="n">
        <v>200</v>
      </c>
      <c r="J66" s="14" t="n">
        <v>0.3</v>
      </c>
      <c r="K66" s="5" t="n">
        <v>60</v>
      </c>
      <c r="L66" s="12" t="s">
        <v>38</v>
      </c>
      <c r="M66" s="4" t="n">
        <v>0</v>
      </c>
      <c r="N66" s="5" t="n">
        <f aca="false">K66*M66</f>
        <v>0</v>
      </c>
      <c r="O66" s="15" t="s">
        <v>43</v>
      </c>
    </row>
    <row r="67" customFormat="false" ht="15" hidden="false" customHeight="false" outlineLevel="0" collapsed="false">
      <c r="A67" s="4" t="n">
        <v>1706</v>
      </c>
      <c r="B67" s="4" t="s">
        <v>13</v>
      </c>
      <c r="C67" s="4" t="n">
        <v>64</v>
      </c>
      <c r="D67" s="4" t="s">
        <v>40</v>
      </c>
      <c r="E67" s="4" t="s">
        <v>41</v>
      </c>
      <c r="F67" s="4" t="s">
        <v>44</v>
      </c>
      <c r="G67" s="12" t="s">
        <v>45</v>
      </c>
      <c r="H67" s="4" t="n">
        <v>1</v>
      </c>
      <c r="I67" s="13" t="n">
        <v>150</v>
      </c>
      <c r="J67" s="14" t="n">
        <v>0.35</v>
      </c>
      <c r="K67" s="5" t="n">
        <v>52.5</v>
      </c>
      <c r="L67" s="12" t="s">
        <v>38</v>
      </c>
      <c r="M67" s="4" t="n">
        <v>0</v>
      </c>
      <c r="N67" s="5" t="n">
        <f aca="false">K67*M67</f>
        <v>0</v>
      </c>
      <c r="O67" s="15" t="s">
        <v>43</v>
      </c>
    </row>
    <row r="68" customFormat="false" ht="15" hidden="false" customHeight="false" outlineLevel="0" collapsed="false">
      <c r="A68" s="4" t="n">
        <v>1706</v>
      </c>
      <c r="B68" s="4" t="s">
        <v>13</v>
      </c>
      <c r="C68" s="4" t="n">
        <v>65</v>
      </c>
      <c r="D68" s="4" t="s">
        <v>59</v>
      </c>
      <c r="E68" s="4" t="s">
        <v>60</v>
      </c>
      <c r="F68" s="4" t="s">
        <v>44</v>
      </c>
      <c r="G68" s="12" t="s">
        <v>37</v>
      </c>
      <c r="H68" s="4" t="n">
        <v>1</v>
      </c>
      <c r="I68" s="13" t="n">
        <v>500</v>
      </c>
      <c r="J68" s="14" t="n">
        <v>0.35</v>
      </c>
      <c r="K68" s="5" t="n">
        <v>175</v>
      </c>
      <c r="L68" s="12" t="s">
        <v>38</v>
      </c>
      <c r="M68" s="4" t="n">
        <v>12</v>
      </c>
      <c r="N68" s="5" t="n">
        <f aca="false">K68*M68</f>
        <v>2100</v>
      </c>
      <c r="O68" s="16" t="s">
        <v>50</v>
      </c>
    </row>
    <row r="69" customFormat="false" ht="15" hidden="false" customHeight="false" outlineLevel="0" collapsed="false">
      <c r="A69" s="4" t="n">
        <v>1706</v>
      </c>
      <c r="B69" s="4" t="s">
        <v>13</v>
      </c>
      <c r="C69" s="4" t="n">
        <v>66</v>
      </c>
      <c r="D69" s="4" t="s">
        <v>75</v>
      </c>
      <c r="E69" s="4" t="s">
        <v>76</v>
      </c>
      <c r="F69" s="4" t="s">
        <v>44</v>
      </c>
      <c r="G69" s="12" t="s">
        <v>37</v>
      </c>
      <c r="H69" s="4" t="n">
        <v>1</v>
      </c>
      <c r="I69" s="13" t="n">
        <v>100</v>
      </c>
      <c r="J69" s="14" t="n">
        <v>0.35</v>
      </c>
      <c r="K69" s="5" t="n">
        <v>35</v>
      </c>
      <c r="L69" s="12" t="s">
        <v>38</v>
      </c>
      <c r="M69" s="4" t="n">
        <v>0</v>
      </c>
      <c r="N69" s="5" t="n">
        <f aca="false">K69*M69</f>
        <v>0</v>
      </c>
      <c r="O69" s="15" t="s">
        <v>77</v>
      </c>
    </row>
    <row r="70" customFormat="false" ht="15" hidden="false" customHeight="false" outlineLevel="0" collapsed="false">
      <c r="A70" s="4" t="n">
        <v>1706</v>
      </c>
      <c r="B70" s="4" t="s">
        <v>13</v>
      </c>
      <c r="C70" s="4" t="n">
        <v>67</v>
      </c>
      <c r="D70" s="4" t="s">
        <v>86</v>
      </c>
      <c r="E70" s="4" t="s">
        <v>87</v>
      </c>
      <c r="F70" s="4" t="s">
        <v>42</v>
      </c>
      <c r="G70" s="12" t="s">
        <v>37</v>
      </c>
      <c r="H70" s="4" t="n">
        <v>1</v>
      </c>
      <c r="I70" s="13" t="n">
        <v>200</v>
      </c>
      <c r="J70" s="14" t="n">
        <v>0.3</v>
      </c>
      <c r="K70" s="5" t="n">
        <v>60</v>
      </c>
      <c r="L70" s="12" t="s">
        <v>38</v>
      </c>
      <c r="M70" s="4" t="n">
        <v>0</v>
      </c>
      <c r="N70" s="5" t="n">
        <f aca="false">K70*M70</f>
        <v>0</v>
      </c>
      <c r="O70" s="15" t="s">
        <v>43</v>
      </c>
    </row>
    <row r="71" customFormat="false" ht="15" hidden="false" customHeight="false" outlineLevel="0" collapsed="false">
      <c r="A71" s="4" t="n">
        <v>1799</v>
      </c>
      <c r="B71" s="4" t="s">
        <v>14</v>
      </c>
      <c r="C71" s="4" t="n">
        <v>68</v>
      </c>
      <c r="D71" s="4" t="s">
        <v>48</v>
      </c>
      <c r="E71" s="4" t="s">
        <v>49</v>
      </c>
      <c r="F71" s="4" t="s">
        <v>36</v>
      </c>
      <c r="G71" s="12" t="s">
        <v>37</v>
      </c>
      <c r="H71" s="4" t="n">
        <v>1</v>
      </c>
      <c r="I71" s="13" t="n">
        <v>400</v>
      </c>
      <c r="J71" s="14" t="n">
        <v>0.25</v>
      </c>
      <c r="K71" s="5" t="n">
        <v>100</v>
      </c>
      <c r="L71" s="12" t="s">
        <v>38</v>
      </c>
      <c r="M71" s="4" t="n">
        <v>0</v>
      </c>
      <c r="N71" s="5" t="n">
        <f aca="false">K71*M71</f>
        <v>0</v>
      </c>
      <c r="O71" s="15" t="s">
        <v>43</v>
      </c>
    </row>
    <row r="72" customFormat="false" ht="15" hidden="false" customHeight="false" outlineLevel="0" collapsed="false">
      <c r="A72" s="4" t="n">
        <v>1799</v>
      </c>
      <c r="B72" s="4" t="s">
        <v>14</v>
      </c>
      <c r="C72" s="4" t="n">
        <v>69</v>
      </c>
      <c r="D72" s="4" t="s">
        <v>48</v>
      </c>
      <c r="E72" s="4" t="s">
        <v>49</v>
      </c>
      <c r="F72" s="4" t="s">
        <v>44</v>
      </c>
      <c r="G72" s="12" t="s">
        <v>45</v>
      </c>
      <c r="H72" s="4" t="n">
        <v>1</v>
      </c>
      <c r="I72" s="13" t="n">
        <v>150</v>
      </c>
      <c r="J72" s="14" t="n">
        <v>0.35</v>
      </c>
      <c r="K72" s="5" t="n">
        <v>52.5</v>
      </c>
      <c r="L72" s="12" t="s">
        <v>38</v>
      </c>
      <c r="M72" s="4" t="n">
        <v>12</v>
      </c>
      <c r="N72" s="5" t="n">
        <f aca="false">K72*M72</f>
        <v>630</v>
      </c>
      <c r="O72" s="16" t="s">
        <v>50</v>
      </c>
    </row>
    <row r="73" customFormat="false" ht="15" hidden="false" customHeight="false" outlineLevel="0" collapsed="false">
      <c r="A73" s="4" t="n">
        <v>1799</v>
      </c>
      <c r="B73" s="4" t="s">
        <v>14</v>
      </c>
      <c r="C73" s="4" t="n">
        <v>70</v>
      </c>
      <c r="D73" s="4" t="s">
        <v>57</v>
      </c>
      <c r="E73" s="4" t="s">
        <v>58</v>
      </c>
      <c r="F73" s="4" t="s">
        <v>44</v>
      </c>
      <c r="G73" s="12" t="s">
        <v>37</v>
      </c>
      <c r="H73" s="4" t="n">
        <v>1</v>
      </c>
      <c r="I73" s="13" t="n">
        <v>100</v>
      </c>
      <c r="J73" s="14" t="n">
        <v>0.35</v>
      </c>
      <c r="K73" s="5" t="n">
        <v>35</v>
      </c>
      <c r="L73" s="12" t="s">
        <v>38</v>
      </c>
      <c r="M73" s="4" t="n">
        <v>0</v>
      </c>
      <c r="N73" s="5" t="n">
        <f aca="false">K73*M73</f>
        <v>0</v>
      </c>
      <c r="O73" s="15" t="s">
        <v>43</v>
      </c>
    </row>
    <row r="74" customFormat="false" ht="15" hidden="false" customHeight="false" outlineLevel="0" collapsed="false">
      <c r="A74" s="4" t="n">
        <v>1799</v>
      </c>
      <c r="B74" s="4" t="s">
        <v>14</v>
      </c>
      <c r="C74" s="4" t="n">
        <v>71</v>
      </c>
      <c r="D74" s="4" t="s">
        <v>63</v>
      </c>
      <c r="E74" s="4" t="s">
        <v>64</v>
      </c>
      <c r="F74" s="4" t="s">
        <v>44</v>
      </c>
      <c r="G74" s="12" t="s">
        <v>37</v>
      </c>
      <c r="H74" s="4" t="n">
        <v>1</v>
      </c>
      <c r="I74" s="13" t="n">
        <v>300</v>
      </c>
      <c r="J74" s="14" t="n">
        <v>0.35</v>
      </c>
      <c r="K74" s="5" t="n">
        <v>105</v>
      </c>
      <c r="L74" s="12" t="s">
        <v>38</v>
      </c>
      <c r="M74" s="4" t="n">
        <v>0</v>
      </c>
      <c r="N74" s="5" t="n">
        <f aca="false">K74*M74</f>
        <v>0</v>
      </c>
      <c r="O74" s="15" t="s">
        <v>39</v>
      </c>
    </row>
    <row r="75" customFormat="false" ht="15" hidden="false" customHeight="false" outlineLevel="0" collapsed="false">
      <c r="A75" s="4" t="n">
        <v>1799</v>
      </c>
      <c r="B75" s="4" t="s">
        <v>14</v>
      </c>
      <c r="C75" s="4" t="n">
        <v>72</v>
      </c>
      <c r="D75" s="4" t="s">
        <v>73</v>
      </c>
      <c r="E75" s="4" t="s">
        <v>74</v>
      </c>
      <c r="F75" s="4" t="s">
        <v>44</v>
      </c>
      <c r="G75" s="12" t="s">
        <v>37</v>
      </c>
      <c r="H75" s="4" t="n">
        <v>1</v>
      </c>
      <c r="I75" s="13" t="n">
        <v>150</v>
      </c>
      <c r="J75" s="14" t="n">
        <v>0.35</v>
      </c>
      <c r="K75" s="5" t="n">
        <v>52.5</v>
      </c>
      <c r="L75" s="12" t="s">
        <v>38</v>
      </c>
      <c r="M75" s="4" t="n">
        <v>12</v>
      </c>
      <c r="N75" s="5" t="n">
        <f aca="false">K75*M75</f>
        <v>630</v>
      </c>
      <c r="O75" s="16" t="s">
        <v>50</v>
      </c>
    </row>
    <row r="76" customFormat="false" ht="15" hidden="false" customHeight="false" outlineLevel="0" collapsed="false">
      <c r="A76" s="4" t="n">
        <v>1799</v>
      </c>
      <c r="B76" s="4" t="s">
        <v>14</v>
      </c>
      <c r="C76" s="4" t="n">
        <v>73</v>
      </c>
      <c r="D76" s="4" t="s">
        <v>104</v>
      </c>
      <c r="E76" s="4" t="s">
        <v>105</v>
      </c>
      <c r="F76" s="4" t="s">
        <v>42</v>
      </c>
      <c r="G76" s="12" t="s">
        <v>37</v>
      </c>
      <c r="H76" s="4" t="n">
        <v>1</v>
      </c>
      <c r="I76" s="13" t="n">
        <v>265</v>
      </c>
      <c r="J76" s="14" t="n">
        <v>0.3</v>
      </c>
      <c r="K76" s="5" t="n">
        <v>79.5</v>
      </c>
      <c r="L76" s="12" t="s">
        <v>38</v>
      </c>
      <c r="M76" s="4" t="n">
        <v>0</v>
      </c>
      <c r="N76" s="5" t="n">
        <f aca="false">K76*M76</f>
        <v>0</v>
      </c>
      <c r="O76" s="15" t="s">
        <v>77</v>
      </c>
    </row>
    <row r="77" customFormat="false" ht="15" hidden="false" customHeight="false" outlineLevel="0" collapsed="false">
      <c r="A77" s="4" t="n">
        <v>1799</v>
      </c>
      <c r="B77" s="4" t="s">
        <v>14</v>
      </c>
      <c r="C77" s="4" t="n">
        <v>74</v>
      </c>
      <c r="D77" s="4" t="s">
        <v>110</v>
      </c>
      <c r="E77" s="4" t="s">
        <v>111</v>
      </c>
      <c r="F77" s="4" t="s">
        <v>42</v>
      </c>
      <c r="G77" s="12" t="s">
        <v>37</v>
      </c>
      <c r="H77" s="4" t="n">
        <v>1</v>
      </c>
      <c r="I77" s="13" t="n">
        <v>200</v>
      </c>
      <c r="J77" s="14" t="n">
        <v>0.3</v>
      </c>
      <c r="K77" s="5" t="n">
        <v>60</v>
      </c>
      <c r="L77" s="12" t="s">
        <v>38</v>
      </c>
      <c r="M77" s="4" t="n">
        <v>0</v>
      </c>
      <c r="N77" s="5" t="n">
        <f aca="false">K77*M77</f>
        <v>0</v>
      </c>
      <c r="O77" s="15" t="s">
        <v>43</v>
      </c>
    </row>
    <row r="78" customFormat="false" ht="15" hidden="false" customHeight="false" outlineLevel="0" collapsed="false">
      <c r="A78" s="4" t="n">
        <v>1799</v>
      </c>
      <c r="B78" s="4" t="s">
        <v>14</v>
      </c>
      <c r="C78" s="4" t="n">
        <v>75</v>
      </c>
      <c r="D78" s="4" t="s">
        <v>116</v>
      </c>
      <c r="E78" s="4" t="s">
        <v>117</v>
      </c>
      <c r="F78" s="4" t="s">
        <v>42</v>
      </c>
      <c r="G78" s="12" t="s">
        <v>37</v>
      </c>
      <c r="H78" s="4" t="n">
        <v>1</v>
      </c>
      <c r="I78" s="13" t="n">
        <v>270</v>
      </c>
      <c r="J78" s="14" t="n">
        <v>0.3</v>
      </c>
      <c r="K78" s="5" t="n">
        <v>81</v>
      </c>
      <c r="L78" s="12" t="s">
        <v>38</v>
      </c>
      <c r="M78" s="4" t="n">
        <v>12</v>
      </c>
      <c r="N78" s="5" t="n">
        <f aca="false">K78*M78</f>
        <v>972</v>
      </c>
      <c r="O78" s="16" t="s">
        <v>50</v>
      </c>
    </row>
    <row r="79" customFormat="false" ht="15" hidden="false" customHeight="false" outlineLevel="0" collapsed="false">
      <c r="A79" s="4" t="n">
        <v>1799</v>
      </c>
      <c r="B79" s="4" t="s">
        <v>14</v>
      </c>
      <c r="C79" s="4" t="n">
        <v>76</v>
      </c>
      <c r="D79" s="4" t="s">
        <v>126</v>
      </c>
      <c r="E79" s="4" t="s">
        <v>127</v>
      </c>
      <c r="F79" s="4" t="s">
        <v>42</v>
      </c>
      <c r="G79" s="12" t="s">
        <v>37</v>
      </c>
      <c r="H79" s="4" t="n">
        <v>1</v>
      </c>
      <c r="I79" s="13" t="n">
        <v>320</v>
      </c>
      <c r="J79" s="14" t="n">
        <v>0.3</v>
      </c>
      <c r="K79" s="5" t="n">
        <v>96</v>
      </c>
      <c r="L79" s="12" t="s">
        <v>38</v>
      </c>
      <c r="M79" s="4" t="n">
        <v>12</v>
      </c>
      <c r="N79" s="5" t="n">
        <f aca="false">K79*M79</f>
        <v>1152</v>
      </c>
      <c r="O79" s="16" t="s">
        <v>50</v>
      </c>
    </row>
    <row r="80" customFormat="false" ht="15" hidden="false" customHeight="false" outlineLevel="0" collapsed="false">
      <c r="A80" s="4" t="n">
        <v>1799</v>
      </c>
      <c r="B80" s="4" t="s">
        <v>14</v>
      </c>
      <c r="C80" s="4" t="n">
        <v>77</v>
      </c>
      <c r="D80" s="4" t="s">
        <v>128</v>
      </c>
      <c r="E80" s="4" t="s">
        <v>129</v>
      </c>
      <c r="F80" s="4" t="s">
        <v>36</v>
      </c>
      <c r="G80" s="12" t="s">
        <v>37</v>
      </c>
      <c r="H80" s="4" t="n">
        <v>1</v>
      </c>
      <c r="I80" s="13" t="n">
        <v>200</v>
      </c>
      <c r="J80" s="14" t="n">
        <v>0.25</v>
      </c>
      <c r="K80" s="5" t="n">
        <v>50</v>
      </c>
      <c r="L80" s="12" t="s">
        <v>38</v>
      </c>
      <c r="M80" s="4" t="n">
        <v>0</v>
      </c>
      <c r="N80" s="5" t="n">
        <f aca="false">K80*M80</f>
        <v>0</v>
      </c>
      <c r="O80" s="15" t="s">
        <v>77</v>
      </c>
    </row>
    <row r="81" customFormat="false" ht="15" hidden="false" customHeight="false" outlineLevel="0" collapsed="false">
      <c r="A81" s="4" t="n">
        <v>1801</v>
      </c>
      <c r="B81" s="4" t="s">
        <v>15</v>
      </c>
      <c r="C81" s="4" t="n">
        <v>78</v>
      </c>
      <c r="D81" s="4" t="s">
        <v>46</v>
      </c>
      <c r="E81" s="4" t="s">
        <v>47</v>
      </c>
      <c r="F81" s="4" t="s">
        <v>42</v>
      </c>
      <c r="G81" s="12" t="s">
        <v>37</v>
      </c>
      <c r="H81" s="4" t="n">
        <v>1</v>
      </c>
      <c r="I81" s="13" t="n">
        <v>300</v>
      </c>
      <c r="J81" s="14" t="n">
        <v>0.35</v>
      </c>
      <c r="K81" s="5" t="n">
        <v>105</v>
      </c>
      <c r="L81" s="12" t="s">
        <v>38</v>
      </c>
      <c r="M81" s="4" t="n">
        <v>0</v>
      </c>
      <c r="N81" s="5" t="n">
        <f aca="false">K81*M81</f>
        <v>0</v>
      </c>
      <c r="O81" s="15" t="s">
        <v>39</v>
      </c>
    </row>
    <row r="82" customFormat="false" ht="15" hidden="false" customHeight="false" outlineLevel="0" collapsed="false">
      <c r="A82" s="4" t="n">
        <v>1801</v>
      </c>
      <c r="B82" s="4" t="s">
        <v>15</v>
      </c>
      <c r="C82" s="4" t="n">
        <v>79</v>
      </c>
      <c r="D82" s="4" t="s">
        <v>67</v>
      </c>
      <c r="E82" s="4" t="s">
        <v>68</v>
      </c>
      <c r="F82" s="4" t="s">
        <v>42</v>
      </c>
      <c r="G82" s="12" t="s">
        <v>37</v>
      </c>
      <c r="H82" s="4" t="n">
        <v>1</v>
      </c>
      <c r="I82" s="13" t="n">
        <v>265</v>
      </c>
      <c r="J82" s="14" t="n">
        <v>0.35</v>
      </c>
      <c r="K82" s="5" t="n">
        <v>92.75</v>
      </c>
      <c r="L82" s="12" t="s">
        <v>38</v>
      </c>
      <c r="M82" s="4" t="n">
        <v>12</v>
      </c>
      <c r="N82" s="5" t="n">
        <f aca="false">K82*M82</f>
        <v>1113</v>
      </c>
      <c r="O82" s="16" t="s">
        <v>50</v>
      </c>
    </row>
    <row r="83" customFormat="false" ht="15" hidden="false" customHeight="false" outlineLevel="0" collapsed="false">
      <c r="A83" s="4" t="n">
        <v>1801</v>
      </c>
      <c r="B83" s="4" t="s">
        <v>15</v>
      </c>
      <c r="C83" s="4" t="n">
        <v>80</v>
      </c>
      <c r="D83" s="4" t="s">
        <v>82</v>
      </c>
      <c r="E83" s="4" t="s">
        <v>83</v>
      </c>
      <c r="F83" s="4" t="s">
        <v>36</v>
      </c>
      <c r="G83" s="12" t="s">
        <v>37</v>
      </c>
      <c r="H83" s="4" t="n">
        <v>1</v>
      </c>
      <c r="I83" s="13" t="n">
        <v>450</v>
      </c>
      <c r="J83" s="14" t="n">
        <v>0.3</v>
      </c>
      <c r="K83" s="5" t="n">
        <v>135</v>
      </c>
      <c r="L83" s="12" t="s">
        <v>38</v>
      </c>
      <c r="M83" s="4" t="n">
        <v>0</v>
      </c>
      <c r="N83" s="5" t="n">
        <f aca="false">K83*M83</f>
        <v>0</v>
      </c>
      <c r="O83" s="15" t="s">
        <v>43</v>
      </c>
    </row>
    <row r="84" customFormat="false" ht="15" hidden="false" customHeight="false" outlineLevel="0" collapsed="false">
      <c r="A84" s="4" t="n">
        <v>1801</v>
      </c>
      <c r="B84" s="4" t="s">
        <v>15</v>
      </c>
      <c r="C84" s="4" t="n">
        <v>81</v>
      </c>
      <c r="D84" s="4" t="s">
        <v>84</v>
      </c>
      <c r="E84" s="4" t="s">
        <v>85</v>
      </c>
      <c r="F84" s="4" t="s">
        <v>36</v>
      </c>
      <c r="G84" s="12" t="s">
        <v>37</v>
      </c>
      <c r="H84" s="4" t="n">
        <v>1</v>
      </c>
      <c r="I84" s="13" t="n">
        <v>900</v>
      </c>
      <c r="J84" s="14" t="n">
        <v>0.3</v>
      </c>
      <c r="K84" s="5" t="n">
        <v>270</v>
      </c>
      <c r="L84" s="12" t="s">
        <v>38</v>
      </c>
      <c r="M84" s="4" t="n">
        <v>12</v>
      </c>
      <c r="N84" s="5" t="n">
        <f aca="false">K84*M84</f>
        <v>3240</v>
      </c>
      <c r="O84" s="16" t="s">
        <v>50</v>
      </c>
    </row>
    <row r="85" customFormat="false" ht="15" hidden="false" customHeight="false" outlineLevel="0" collapsed="false">
      <c r="A85" s="4" t="n">
        <v>1801</v>
      </c>
      <c r="B85" s="4" t="s">
        <v>15</v>
      </c>
      <c r="C85" s="4" t="n">
        <v>82</v>
      </c>
      <c r="D85" s="4" t="s">
        <v>88</v>
      </c>
      <c r="E85" s="4" t="s">
        <v>89</v>
      </c>
      <c r="F85" s="4" t="s">
        <v>42</v>
      </c>
      <c r="G85" s="12" t="s">
        <v>37</v>
      </c>
      <c r="H85" s="4" t="n">
        <v>1</v>
      </c>
      <c r="I85" s="13" t="n">
        <v>265</v>
      </c>
      <c r="J85" s="14" t="n">
        <v>0.35</v>
      </c>
      <c r="K85" s="5" t="n">
        <v>92.75</v>
      </c>
      <c r="L85" s="12" t="s">
        <v>38</v>
      </c>
      <c r="M85" s="4" t="n">
        <v>12</v>
      </c>
      <c r="N85" s="5" t="n">
        <f aca="false">K85*M85</f>
        <v>1113</v>
      </c>
      <c r="O85" s="16" t="s">
        <v>50</v>
      </c>
    </row>
    <row r="86" customFormat="false" ht="15" hidden="false" customHeight="false" outlineLevel="0" collapsed="false">
      <c r="A86" s="4" t="n">
        <v>1801</v>
      </c>
      <c r="B86" s="4" t="s">
        <v>15</v>
      </c>
      <c r="C86" s="4" t="n">
        <v>83</v>
      </c>
      <c r="D86" s="4" t="s">
        <v>92</v>
      </c>
      <c r="E86" s="4" t="s">
        <v>93</v>
      </c>
      <c r="F86" s="4" t="s">
        <v>44</v>
      </c>
      <c r="G86" s="12" t="s">
        <v>37</v>
      </c>
      <c r="H86" s="4" t="n">
        <v>1</v>
      </c>
      <c r="I86" s="13" t="n">
        <v>100</v>
      </c>
      <c r="J86" s="14" t="n">
        <v>0.4</v>
      </c>
      <c r="K86" s="5" t="n">
        <v>40</v>
      </c>
      <c r="L86" s="12" t="s">
        <v>38</v>
      </c>
      <c r="M86" s="4" t="n">
        <v>0</v>
      </c>
      <c r="N86" s="5" t="n">
        <f aca="false">K86*M86</f>
        <v>0</v>
      </c>
      <c r="O86" s="15" t="s">
        <v>39</v>
      </c>
    </row>
    <row r="87" customFormat="false" ht="15" hidden="false" customHeight="false" outlineLevel="0" collapsed="false">
      <c r="A87" s="4" t="n">
        <v>1801</v>
      </c>
      <c r="B87" s="4" t="s">
        <v>15</v>
      </c>
      <c r="C87" s="4" t="n">
        <v>84</v>
      </c>
      <c r="D87" s="4" t="s">
        <v>94</v>
      </c>
      <c r="E87" s="4" t="s">
        <v>95</v>
      </c>
      <c r="F87" s="4" t="s">
        <v>44</v>
      </c>
      <c r="G87" s="12" t="s">
        <v>37</v>
      </c>
      <c r="H87" s="4" t="n">
        <v>1</v>
      </c>
      <c r="I87" s="13" t="n">
        <v>600</v>
      </c>
      <c r="J87" s="14" t="n">
        <v>0.4</v>
      </c>
      <c r="K87" s="5" t="n">
        <v>240</v>
      </c>
      <c r="L87" s="12" t="s">
        <v>38</v>
      </c>
      <c r="M87" s="4" t="n">
        <v>0</v>
      </c>
      <c r="N87" s="5" t="n">
        <f aca="false">K87*M87</f>
        <v>0</v>
      </c>
      <c r="O87" s="15" t="s">
        <v>39</v>
      </c>
    </row>
    <row r="88" customFormat="false" ht="15" hidden="false" customHeight="false" outlineLevel="0" collapsed="false">
      <c r="A88" s="4" t="n">
        <v>1801</v>
      </c>
      <c r="B88" s="4" t="s">
        <v>15</v>
      </c>
      <c r="C88" s="4" t="n">
        <v>85</v>
      </c>
      <c r="D88" s="4" t="s">
        <v>98</v>
      </c>
      <c r="E88" s="4" t="s">
        <v>99</v>
      </c>
      <c r="F88" s="4" t="s">
        <v>42</v>
      </c>
      <c r="G88" s="12" t="s">
        <v>37</v>
      </c>
      <c r="H88" s="4" t="n">
        <v>1</v>
      </c>
      <c r="I88" s="13" t="n">
        <v>450</v>
      </c>
      <c r="J88" s="14" t="n">
        <v>0.35</v>
      </c>
      <c r="K88" s="5" t="n">
        <v>157.5</v>
      </c>
      <c r="L88" s="12" t="s">
        <v>38</v>
      </c>
      <c r="M88" s="4" t="n">
        <v>0</v>
      </c>
      <c r="N88" s="5" t="n">
        <f aca="false">K88*M88</f>
        <v>0</v>
      </c>
      <c r="O88" s="15" t="s">
        <v>43</v>
      </c>
    </row>
    <row r="89" customFormat="false" ht="15" hidden="false" customHeight="false" outlineLevel="0" collapsed="false">
      <c r="A89" s="4" t="n">
        <v>1801</v>
      </c>
      <c r="B89" s="4" t="s">
        <v>15</v>
      </c>
      <c r="C89" s="4" t="n">
        <v>86</v>
      </c>
      <c r="D89" s="4" t="s">
        <v>108</v>
      </c>
      <c r="E89" s="4" t="s">
        <v>109</v>
      </c>
      <c r="F89" s="4" t="s">
        <v>36</v>
      </c>
      <c r="G89" s="12" t="s">
        <v>37</v>
      </c>
      <c r="H89" s="4" t="n">
        <v>1</v>
      </c>
      <c r="I89" s="13" t="n">
        <v>300</v>
      </c>
      <c r="J89" s="14" t="n">
        <v>0.3</v>
      </c>
      <c r="K89" s="5" t="n">
        <v>90</v>
      </c>
      <c r="L89" s="12" t="s">
        <v>38</v>
      </c>
      <c r="M89" s="4" t="n">
        <v>0</v>
      </c>
      <c r="N89" s="5" t="n">
        <f aca="false">K89*M89</f>
        <v>0</v>
      </c>
      <c r="O89" s="15" t="s">
        <v>77</v>
      </c>
    </row>
    <row r="90" customFormat="false" ht="15" hidden="false" customHeight="false" outlineLevel="0" collapsed="false">
      <c r="A90" s="4" t="n">
        <v>1801</v>
      </c>
      <c r="B90" s="4" t="s">
        <v>15</v>
      </c>
      <c r="C90" s="4" t="n">
        <v>87</v>
      </c>
      <c r="D90" s="4" t="s">
        <v>118</v>
      </c>
      <c r="E90" s="4" t="s">
        <v>119</v>
      </c>
      <c r="F90" s="4" t="s">
        <v>36</v>
      </c>
      <c r="G90" s="12" t="s">
        <v>37</v>
      </c>
      <c r="H90" s="4" t="n">
        <v>1</v>
      </c>
      <c r="I90" s="13" t="n">
        <v>400</v>
      </c>
      <c r="J90" s="14" t="n">
        <v>0.3</v>
      </c>
      <c r="K90" s="5" t="n">
        <v>120</v>
      </c>
      <c r="L90" s="12" t="s">
        <v>38</v>
      </c>
      <c r="M90" s="4" t="n">
        <v>0</v>
      </c>
      <c r="N90" s="5" t="n">
        <f aca="false">K90*M90</f>
        <v>0</v>
      </c>
      <c r="O90" s="15" t="s">
        <v>43</v>
      </c>
    </row>
    <row r="91" customFormat="false" ht="15" hidden="false" customHeight="false" outlineLevel="0" collapsed="false">
      <c r="A91" s="4" t="n">
        <v>1801</v>
      </c>
      <c r="B91" s="4" t="s">
        <v>15</v>
      </c>
      <c r="C91" s="4" t="n">
        <v>88</v>
      </c>
      <c r="D91" s="4" t="s">
        <v>84</v>
      </c>
      <c r="E91" s="4" t="s">
        <v>85</v>
      </c>
      <c r="F91" s="4" t="s">
        <v>44</v>
      </c>
      <c r="G91" s="12" t="s">
        <v>45</v>
      </c>
      <c r="H91" s="4" t="n">
        <v>1</v>
      </c>
      <c r="I91" s="13" t="n">
        <v>2100</v>
      </c>
      <c r="J91" s="14" t="n">
        <v>0.4</v>
      </c>
      <c r="K91" s="5" t="n">
        <v>840</v>
      </c>
      <c r="L91" s="12" t="s">
        <v>38</v>
      </c>
      <c r="M91" s="4" t="n">
        <v>12</v>
      </c>
      <c r="N91" s="5" t="n">
        <f aca="false">K91*M91</f>
        <v>10080</v>
      </c>
      <c r="O91" s="16" t="s">
        <v>50</v>
      </c>
    </row>
    <row r="92" customFormat="false" ht="15" hidden="false" customHeight="false" outlineLevel="0" collapsed="false">
      <c r="A92" s="4" t="n">
        <v>1801</v>
      </c>
      <c r="B92" s="4" t="s">
        <v>15</v>
      </c>
      <c r="C92" s="4" t="n">
        <v>89</v>
      </c>
      <c r="D92" s="4" t="s">
        <v>132</v>
      </c>
      <c r="E92" s="4" t="s">
        <v>133</v>
      </c>
      <c r="F92" s="4" t="s">
        <v>44</v>
      </c>
      <c r="G92" s="12" t="s">
        <v>37</v>
      </c>
      <c r="H92" s="4" t="n">
        <v>1</v>
      </c>
      <c r="I92" s="13" t="n">
        <v>200</v>
      </c>
      <c r="J92" s="14" t="n">
        <v>0.4</v>
      </c>
      <c r="K92" s="5" t="n">
        <v>80</v>
      </c>
      <c r="L92" s="12" t="s">
        <v>38</v>
      </c>
      <c r="M92" s="4" t="n">
        <v>0</v>
      </c>
      <c r="N92" s="5" t="n">
        <f aca="false">K92*M92</f>
        <v>0</v>
      </c>
      <c r="O92" s="15" t="s">
        <v>39</v>
      </c>
    </row>
    <row r="93" customFormat="false" ht="15" hidden="false" customHeight="false" outlineLevel="0" collapsed="false">
      <c r="A93" s="4" t="n">
        <v>1801</v>
      </c>
      <c r="B93" s="4" t="s">
        <v>15</v>
      </c>
      <c r="C93" s="4" t="n">
        <v>90</v>
      </c>
      <c r="D93" s="4" t="s">
        <v>136</v>
      </c>
      <c r="E93" s="4" t="s">
        <v>137</v>
      </c>
      <c r="F93" s="4" t="s">
        <v>42</v>
      </c>
      <c r="G93" s="12" t="s">
        <v>37</v>
      </c>
      <c r="H93" s="4" t="n">
        <v>1</v>
      </c>
      <c r="I93" s="13" t="n">
        <v>300</v>
      </c>
      <c r="J93" s="14" t="n">
        <v>0.35</v>
      </c>
      <c r="K93" s="5" t="n">
        <v>105</v>
      </c>
      <c r="L93" s="12" t="s">
        <v>38</v>
      </c>
      <c r="M93" s="4" t="n">
        <v>12</v>
      </c>
      <c r="N93" s="5" t="n">
        <f aca="false">K93*M93</f>
        <v>1260</v>
      </c>
      <c r="O93" s="16" t="s">
        <v>50</v>
      </c>
    </row>
    <row r="94" customFormat="false" ht="15" hidden="false" customHeight="false" outlineLevel="0" collapsed="false">
      <c r="A94" s="4" t="n">
        <v>1803</v>
      </c>
      <c r="B94" s="4" t="s">
        <v>16</v>
      </c>
      <c r="C94" s="4" t="n">
        <v>91</v>
      </c>
      <c r="D94" s="4" t="s">
        <v>34</v>
      </c>
      <c r="E94" s="4" t="s">
        <v>35</v>
      </c>
      <c r="F94" s="4" t="s">
        <v>36</v>
      </c>
      <c r="G94" s="12" t="s">
        <v>37</v>
      </c>
      <c r="H94" s="4" t="n">
        <v>1</v>
      </c>
      <c r="I94" s="13" t="n">
        <v>200</v>
      </c>
      <c r="J94" s="14" t="n">
        <v>0.25</v>
      </c>
      <c r="K94" s="5" t="n">
        <v>50</v>
      </c>
      <c r="L94" s="12" t="s">
        <v>38</v>
      </c>
      <c r="M94" s="4" t="n">
        <v>0</v>
      </c>
      <c r="N94" s="5" t="n">
        <f aca="false">K94*M94</f>
        <v>0</v>
      </c>
      <c r="O94" s="15" t="s">
        <v>39</v>
      </c>
    </row>
    <row r="95" customFormat="false" ht="15" hidden="false" customHeight="false" outlineLevel="0" collapsed="false">
      <c r="A95" s="4" t="n">
        <v>1803</v>
      </c>
      <c r="B95" s="4" t="s">
        <v>16</v>
      </c>
      <c r="C95" s="4" t="n">
        <v>92</v>
      </c>
      <c r="D95" s="4" t="s">
        <v>61</v>
      </c>
      <c r="E95" s="4" t="s">
        <v>62</v>
      </c>
      <c r="F95" s="4" t="s">
        <v>36</v>
      </c>
      <c r="G95" s="12" t="s">
        <v>37</v>
      </c>
      <c r="H95" s="4" t="n">
        <v>1</v>
      </c>
      <c r="I95" s="13" t="n">
        <v>200</v>
      </c>
      <c r="J95" s="14" t="n">
        <v>0.25</v>
      </c>
      <c r="K95" s="5" t="n">
        <v>50</v>
      </c>
      <c r="L95" s="12" t="s">
        <v>38</v>
      </c>
      <c r="M95" s="4" t="n">
        <v>0</v>
      </c>
      <c r="N95" s="5" t="n">
        <f aca="false">K95*M95</f>
        <v>0</v>
      </c>
      <c r="O95" s="15" t="s">
        <v>39</v>
      </c>
    </row>
    <row r="96" customFormat="false" ht="15" hidden="false" customHeight="false" outlineLevel="0" collapsed="false">
      <c r="A96" s="4" t="n">
        <v>1803</v>
      </c>
      <c r="B96" s="4" t="s">
        <v>16</v>
      </c>
      <c r="C96" s="4" t="n">
        <v>93</v>
      </c>
      <c r="D96" s="4" t="s">
        <v>96</v>
      </c>
      <c r="E96" s="4" t="s">
        <v>97</v>
      </c>
      <c r="F96" s="4" t="s">
        <v>36</v>
      </c>
      <c r="G96" s="12" t="s">
        <v>37</v>
      </c>
      <c r="H96" s="4" t="n">
        <v>1</v>
      </c>
      <c r="I96" s="13" t="n">
        <v>300</v>
      </c>
      <c r="J96" s="14" t="n">
        <v>0.25</v>
      </c>
      <c r="K96" s="5" t="n">
        <v>75</v>
      </c>
      <c r="L96" s="12" t="s">
        <v>38</v>
      </c>
      <c r="M96" s="4" t="n">
        <v>0</v>
      </c>
      <c r="N96" s="5" t="n">
        <f aca="false">K96*M96</f>
        <v>0</v>
      </c>
      <c r="O96" s="15" t="s">
        <v>39</v>
      </c>
    </row>
    <row r="97" customFormat="false" ht="15" hidden="false" customHeight="false" outlineLevel="0" collapsed="false">
      <c r="A97" s="4" t="n">
        <v>1803</v>
      </c>
      <c r="B97" s="4" t="s">
        <v>16</v>
      </c>
      <c r="C97" s="4" t="n">
        <v>94</v>
      </c>
      <c r="D97" s="4" t="s">
        <v>106</v>
      </c>
      <c r="E97" s="4" t="s">
        <v>107</v>
      </c>
      <c r="F97" s="4" t="s">
        <v>36</v>
      </c>
      <c r="G97" s="12" t="s">
        <v>37</v>
      </c>
      <c r="H97" s="4" t="n">
        <v>1</v>
      </c>
      <c r="I97" s="13" t="n">
        <v>200</v>
      </c>
      <c r="J97" s="14" t="n">
        <v>0.25</v>
      </c>
      <c r="K97" s="5" t="n">
        <v>50</v>
      </c>
      <c r="L97" s="12" t="s">
        <v>38</v>
      </c>
      <c r="M97" s="4" t="n">
        <v>0</v>
      </c>
      <c r="N97" s="5" t="n">
        <f aca="false">K97*M97</f>
        <v>0</v>
      </c>
      <c r="O97" s="15" t="s">
        <v>77</v>
      </c>
    </row>
    <row r="98" customFormat="false" ht="15" hidden="false" customHeight="false" outlineLevel="0" collapsed="false">
      <c r="A98" s="4" t="n">
        <v>1803</v>
      </c>
      <c r="B98" s="4" t="s">
        <v>16</v>
      </c>
      <c r="C98" s="4" t="n">
        <v>95</v>
      </c>
      <c r="D98" s="4" t="s">
        <v>106</v>
      </c>
      <c r="E98" s="4" t="s">
        <v>107</v>
      </c>
      <c r="F98" s="4" t="s">
        <v>44</v>
      </c>
      <c r="G98" s="12" t="s">
        <v>45</v>
      </c>
      <c r="H98" s="4" t="n">
        <v>1</v>
      </c>
      <c r="I98" s="13" t="n">
        <v>100</v>
      </c>
      <c r="J98" s="14" t="n">
        <v>0.35</v>
      </c>
      <c r="K98" s="5" t="n">
        <v>35</v>
      </c>
      <c r="L98" s="12" t="s">
        <v>38</v>
      </c>
      <c r="M98" s="4" t="n">
        <v>0</v>
      </c>
      <c r="N98" s="5" t="n">
        <f aca="false">K98*M98</f>
        <v>0</v>
      </c>
      <c r="O98" s="15" t="s">
        <v>77</v>
      </c>
    </row>
    <row r="99" customFormat="false" ht="15" hidden="false" customHeight="false" outlineLevel="0" collapsed="false">
      <c r="A99" s="4" t="n">
        <v>1803</v>
      </c>
      <c r="B99" s="4" t="s">
        <v>16</v>
      </c>
      <c r="C99" s="4" t="n">
        <v>96</v>
      </c>
      <c r="D99" s="4" t="s">
        <v>120</v>
      </c>
      <c r="E99" s="4" t="s">
        <v>121</v>
      </c>
      <c r="F99" s="4" t="s">
        <v>36</v>
      </c>
      <c r="G99" s="12" t="s">
        <v>37</v>
      </c>
      <c r="H99" s="4" t="n">
        <v>1</v>
      </c>
      <c r="I99" s="13" t="n">
        <v>200</v>
      </c>
      <c r="J99" s="14" t="n">
        <v>0.25</v>
      </c>
      <c r="K99" s="5" t="n">
        <v>50</v>
      </c>
      <c r="L99" s="12" t="s">
        <v>38</v>
      </c>
      <c r="M99" s="4" t="n">
        <v>0</v>
      </c>
      <c r="N99" s="5" t="n">
        <f aca="false">K99*M99</f>
        <v>0</v>
      </c>
      <c r="O99" s="15" t="s">
        <v>43</v>
      </c>
    </row>
    <row r="100" customFormat="false" ht="15" hidden="false" customHeight="false" outlineLevel="0" collapsed="false">
      <c r="A100" s="4" t="n">
        <v>1803</v>
      </c>
      <c r="B100" s="4" t="s">
        <v>16</v>
      </c>
      <c r="C100" s="4" t="n">
        <v>97</v>
      </c>
      <c r="D100" s="4" t="s">
        <v>122</v>
      </c>
      <c r="E100" s="4" t="s">
        <v>123</v>
      </c>
      <c r="F100" s="4" t="s">
        <v>36</v>
      </c>
      <c r="G100" s="12" t="s">
        <v>37</v>
      </c>
      <c r="H100" s="4" t="n">
        <v>1</v>
      </c>
      <c r="I100" s="13" t="n">
        <v>400</v>
      </c>
      <c r="J100" s="14" t="n">
        <v>0.25</v>
      </c>
      <c r="K100" s="5" t="n">
        <v>100</v>
      </c>
      <c r="L100" s="12" t="s">
        <v>38</v>
      </c>
      <c r="M100" s="4" t="n">
        <v>12</v>
      </c>
      <c r="N100" s="5" t="n">
        <f aca="false">K100*M100</f>
        <v>1200</v>
      </c>
      <c r="O100" s="16" t="s">
        <v>50</v>
      </c>
    </row>
    <row r="101" customFormat="false" ht="15" hidden="false" customHeight="false" outlineLevel="0" collapsed="false">
      <c r="A101" s="4" t="n">
        <v>1822</v>
      </c>
      <c r="B101" s="4" t="s">
        <v>17</v>
      </c>
      <c r="C101" s="4" t="n">
        <v>98</v>
      </c>
      <c r="D101" s="4" t="s">
        <v>51</v>
      </c>
      <c r="E101" s="4" t="s">
        <v>52</v>
      </c>
      <c r="F101" s="4" t="s">
        <v>42</v>
      </c>
      <c r="G101" s="12" t="s">
        <v>37</v>
      </c>
      <c r="H101" s="4" t="n">
        <v>1</v>
      </c>
      <c r="I101" s="13" t="n">
        <v>300</v>
      </c>
      <c r="J101" s="14" t="n">
        <v>0.3</v>
      </c>
      <c r="K101" s="5" t="n">
        <v>90</v>
      </c>
      <c r="L101" s="12" t="s">
        <v>38</v>
      </c>
      <c r="M101" s="4" t="n">
        <v>0</v>
      </c>
      <c r="N101" s="5" t="n">
        <f aca="false">K101*M101</f>
        <v>0</v>
      </c>
      <c r="O101" s="15" t="s">
        <v>43</v>
      </c>
    </row>
    <row r="102" customFormat="false" ht="15" hidden="false" customHeight="false" outlineLevel="0" collapsed="false">
      <c r="A102" s="4" t="n">
        <v>1822</v>
      </c>
      <c r="B102" s="4" t="s">
        <v>17</v>
      </c>
      <c r="C102" s="4" t="n">
        <v>99</v>
      </c>
      <c r="D102" s="4" t="s">
        <v>112</v>
      </c>
      <c r="E102" s="4" t="s">
        <v>113</v>
      </c>
      <c r="F102" s="4" t="s">
        <v>42</v>
      </c>
      <c r="G102" s="12" t="s">
        <v>37</v>
      </c>
      <c r="H102" s="4" t="n">
        <v>1</v>
      </c>
      <c r="I102" s="13" t="n">
        <v>200</v>
      </c>
      <c r="J102" s="14" t="n">
        <v>0.3</v>
      </c>
      <c r="K102" s="5" t="n">
        <v>60</v>
      </c>
      <c r="L102" s="12" t="s">
        <v>38</v>
      </c>
      <c r="M102" s="4" t="n">
        <v>0</v>
      </c>
      <c r="N102" s="5" t="n">
        <f aca="false">K102*M102</f>
        <v>0</v>
      </c>
      <c r="O102" s="15" t="s">
        <v>43</v>
      </c>
    </row>
    <row r="103" customFormat="false" ht="15" hidden="false" customHeight="false" outlineLevel="0" collapsed="false">
      <c r="A103" s="4" t="n">
        <v>1822</v>
      </c>
      <c r="B103" s="4" t="s">
        <v>17</v>
      </c>
      <c r="C103" s="4" t="n">
        <v>100</v>
      </c>
      <c r="D103" s="4" t="s">
        <v>124</v>
      </c>
      <c r="E103" s="4" t="s">
        <v>125</v>
      </c>
      <c r="F103" s="4" t="s">
        <v>42</v>
      </c>
      <c r="G103" s="12" t="s">
        <v>37</v>
      </c>
      <c r="H103" s="4" t="n">
        <v>1</v>
      </c>
      <c r="I103" s="13" t="n">
        <v>200</v>
      </c>
      <c r="J103" s="14" t="n">
        <v>0.3</v>
      </c>
      <c r="K103" s="5" t="n">
        <v>60</v>
      </c>
      <c r="L103" s="12" t="s">
        <v>38</v>
      </c>
      <c r="M103" s="4" t="n">
        <v>0</v>
      </c>
      <c r="N103" s="5" t="n">
        <f aca="false">K103*M103</f>
        <v>0</v>
      </c>
      <c r="O103" s="15" t="s">
        <v>39</v>
      </c>
    </row>
    <row r="104" customFormat="false" ht="15" hidden="false" customHeight="false" outlineLevel="0" collapsed="false">
      <c r="A104" s="4" t="n">
        <v>1822</v>
      </c>
      <c r="B104" s="4" t="s">
        <v>17</v>
      </c>
      <c r="C104" s="4" t="n">
        <v>101</v>
      </c>
      <c r="D104" s="4" t="s">
        <v>130</v>
      </c>
      <c r="E104" s="4" t="s">
        <v>131</v>
      </c>
      <c r="F104" s="4" t="s">
        <v>42</v>
      </c>
      <c r="G104" s="12" t="s">
        <v>37</v>
      </c>
      <c r="H104" s="4" t="n">
        <v>1</v>
      </c>
      <c r="I104" s="13" t="n">
        <v>300</v>
      </c>
      <c r="J104" s="14" t="n">
        <v>0.3</v>
      </c>
      <c r="K104" s="5" t="n">
        <v>90</v>
      </c>
      <c r="L104" s="12" t="s">
        <v>38</v>
      </c>
      <c r="M104" s="4" t="n">
        <v>12</v>
      </c>
      <c r="N104" s="5" t="n">
        <f aca="false">K104*M104</f>
        <v>1080</v>
      </c>
      <c r="O104" s="16" t="s">
        <v>50</v>
      </c>
    </row>
    <row r="105" customFormat="false" ht="15" hidden="false" customHeight="false" outlineLevel="0" collapsed="false">
      <c r="A105" s="4" t="n">
        <v>1769</v>
      </c>
      <c r="B105" s="4" t="s">
        <v>18</v>
      </c>
      <c r="C105" s="4" t="n">
        <v>102</v>
      </c>
      <c r="D105" s="4" t="s">
        <v>138</v>
      </c>
      <c r="E105" s="4" t="s">
        <v>139</v>
      </c>
      <c r="F105" s="4" t="s">
        <v>36</v>
      </c>
      <c r="G105" s="12" t="s">
        <v>37</v>
      </c>
      <c r="H105" s="4" t="n">
        <v>1</v>
      </c>
      <c r="I105" s="13" t="n">
        <v>800</v>
      </c>
      <c r="J105" s="14" t="n">
        <v>0.5</v>
      </c>
      <c r="K105" s="5" t="n">
        <v>400</v>
      </c>
      <c r="L105" s="12" t="s">
        <v>38</v>
      </c>
      <c r="M105" s="4" t="n">
        <v>0</v>
      </c>
      <c r="N105" s="5" t="n">
        <f aca="false">K105*M105</f>
        <v>0</v>
      </c>
      <c r="O105" s="15" t="s">
        <v>39</v>
      </c>
    </row>
    <row r="106" customFormat="false" ht="15" hidden="false" customHeight="false" outlineLevel="0" collapsed="false">
      <c r="A106" s="4" t="n">
        <v>1769</v>
      </c>
      <c r="B106" s="4" t="s">
        <v>18</v>
      </c>
      <c r="C106" s="4" t="n">
        <v>103</v>
      </c>
      <c r="D106" s="4" t="s">
        <v>140</v>
      </c>
      <c r="E106" s="4" t="s">
        <v>141</v>
      </c>
      <c r="F106" s="4" t="s">
        <v>42</v>
      </c>
      <c r="G106" s="12" t="s">
        <v>37</v>
      </c>
      <c r="H106" s="4" t="n">
        <v>1</v>
      </c>
      <c r="I106" s="13" t="n">
        <v>265</v>
      </c>
      <c r="J106" s="14" t="n">
        <v>0.55</v>
      </c>
      <c r="K106" s="5" t="n">
        <v>145.75</v>
      </c>
      <c r="L106" s="12" t="s">
        <v>38</v>
      </c>
      <c r="M106" s="4" t="n">
        <v>0</v>
      </c>
      <c r="N106" s="5" t="n">
        <f aca="false">K106*M106</f>
        <v>0</v>
      </c>
      <c r="O106" s="15" t="s">
        <v>43</v>
      </c>
    </row>
    <row r="107" customFormat="false" ht="15" hidden="false" customHeight="false" outlineLevel="0" collapsed="false">
      <c r="A107" s="4" t="n">
        <v>1769</v>
      </c>
      <c r="B107" s="4" t="s">
        <v>18</v>
      </c>
      <c r="C107" s="4" t="n">
        <v>104</v>
      </c>
      <c r="D107" s="4" t="s">
        <v>142</v>
      </c>
      <c r="E107" s="4" t="s">
        <v>143</v>
      </c>
      <c r="F107" s="4" t="s">
        <v>36</v>
      </c>
      <c r="G107" s="12" t="s">
        <v>37</v>
      </c>
      <c r="H107" s="4" t="n">
        <v>1</v>
      </c>
      <c r="I107" s="13" t="n">
        <v>300</v>
      </c>
      <c r="J107" s="14" t="n">
        <v>0.5</v>
      </c>
      <c r="K107" s="5" t="n">
        <v>150</v>
      </c>
      <c r="L107" s="12" t="s">
        <v>38</v>
      </c>
      <c r="M107" s="4" t="n">
        <v>0</v>
      </c>
      <c r="N107" s="5" t="n">
        <f aca="false">K107*M107</f>
        <v>0</v>
      </c>
      <c r="O107" s="15" t="s">
        <v>43</v>
      </c>
    </row>
    <row r="108" customFormat="false" ht="15" hidden="false" customHeight="false" outlineLevel="0" collapsed="false">
      <c r="A108" s="4" t="n">
        <v>1769</v>
      </c>
      <c r="B108" s="4" t="s">
        <v>18</v>
      </c>
      <c r="C108" s="4" t="n">
        <v>105</v>
      </c>
      <c r="D108" s="4" t="s">
        <v>142</v>
      </c>
      <c r="E108" s="4" t="s">
        <v>143</v>
      </c>
      <c r="F108" s="4" t="s">
        <v>44</v>
      </c>
      <c r="G108" s="12" t="s">
        <v>45</v>
      </c>
      <c r="H108" s="4" t="n">
        <v>1</v>
      </c>
      <c r="I108" s="13" t="n">
        <v>700</v>
      </c>
      <c r="J108" s="14" t="n">
        <v>0.6</v>
      </c>
      <c r="K108" s="5" t="n">
        <v>420</v>
      </c>
      <c r="L108" s="12" t="s">
        <v>38</v>
      </c>
      <c r="M108" s="4" t="n">
        <v>0</v>
      </c>
      <c r="N108" s="5" t="n">
        <f aca="false">K108*M108</f>
        <v>0</v>
      </c>
      <c r="O108" s="15" t="s">
        <v>43</v>
      </c>
    </row>
    <row r="109" customFormat="false" ht="15" hidden="false" customHeight="false" outlineLevel="0" collapsed="false">
      <c r="A109" s="4" t="n">
        <v>1769</v>
      </c>
      <c r="B109" s="4" t="s">
        <v>18</v>
      </c>
      <c r="C109" s="4" t="n">
        <v>106</v>
      </c>
      <c r="D109" s="4" t="s">
        <v>144</v>
      </c>
      <c r="E109" s="4" t="s">
        <v>145</v>
      </c>
      <c r="F109" s="4" t="s">
        <v>36</v>
      </c>
      <c r="G109" s="12" t="s">
        <v>37</v>
      </c>
      <c r="H109" s="4" t="n">
        <v>1</v>
      </c>
      <c r="I109" s="13" t="n">
        <v>800</v>
      </c>
      <c r="J109" s="14" t="n">
        <v>0.55</v>
      </c>
      <c r="K109" s="5" t="n">
        <v>440</v>
      </c>
      <c r="L109" s="12" t="s">
        <v>38</v>
      </c>
      <c r="M109" s="4" t="n">
        <v>12</v>
      </c>
      <c r="N109" s="5" t="n">
        <f aca="false">K109*M109</f>
        <v>5280</v>
      </c>
      <c r="O109" s="16" t="s">
        <v>50</v>
      </c>
    </row>
    <row r="110" customFormat="false" ht="15" hidden="false" customHeight="false" outlineLevel="0" collapsed="false">
      <c r="A110" s="4" t="n">
        <v>1769</v>
      </c>
      <c r="B110" s="4" t="s">
        <v>18</v>
      </c>
      <c r="C110" s="4" t="n">
        <v>107</v>
      </c>
      <c r="D110" s="4" t="s">
        <v>146</v>
      </c>
      <c r="E110" s="4" t="s">
        <v>147</v>
      </c>
      <c r="F110" s="4" t="s">
        <v>42</v>
      </c>
      <c r="G110" s="12" t="s">
        <v>37</v>
      </c>
      <c r="H110" s="4" t="n">
        <v>1</v>
      </c>
      <c r="I110" s="13" t="n">
        <v>265</v>
      </c>
      <c r="J110" s="14" t="n">
        <v>0.55</v>
      </c>
      <c r="K110" s="5" t="n">
        <v>145.75</v>
      </c>
      <c r="L110" s="12" t="s">
        <v>38</v>
      </c>
      <c r="M110" s="4" t="n">
        <v>0</v>
      </c>
      <c r="N110" s="5" t="n">
        <f aca="false">K110*M110</f>
        <v>0</v>
      </c>
      <c r="O110" s="15" t="s">
        <v>43</v>
      </c>
    </row>
    <row r="111" customFormat="false" ht="15" hidden="false" customHeight="false" outlineLevel="0" collapsed="false">
      <c r="A111" s="4" t="n">
        <v>1769</v>
      </c>
      <c r="B111" s="4" t="s">
        <v>18</v>
      </c>
      <c r="C111" s="4" t="n">
        <v>108</v>
      </c>
      <c r="D111" s="4" t="s">
        <v>148</v>
      </c>
      <c r="E111" s="4" t="s">
        <v>149</v>
      </c>
      <c r="F111" s="4" t="s">
        <v>36</v>
      </c>
      <c r="G111" s="12" t="s">
        <v>37</v>
      </c>
      <c r="H111" s="4" t="n">
        <v>3</v>
      </c>
      <c r="I111" s="13" t="n">
        <v>200</v>
      </c>
      <c r="J111" s="14" t="n">
        <v>0.0425</v>
      </c>
      <c r="K111" s="5" t="n">
        <v>8.5</v>
      </c>
      <c r="L111" s="12" t="s">
        <v>38</v>
      </c>
      <c r="M111" s="4" t="n">
        <v>1</v>
      </c>
      <c r="N111" s="5" t="n">
        <f aca="false">K111*M111</f>
        <v>8.5</v>
      </c>
      <c r="O111" s="15"/>
    </row>
    <row r="112" customFormat="false" ht="15" hidden="false" customHeight="false" outlineLevel="0" collapsed="false">
      <c r="A112" s="4" t="n">
        <v>1769</v>
      </c>
      <c r="B112" s="4" t="s">
        <v>18</v>
      </c>
      <c r="C112" s="4" t="n">
        <v>109</v>
      </c>
      <c r="D112" s="4" t="s">
        <v>148</v>
      </c>
      <c r="E112" s="4" t="s">
        <v>149</v>
      </c>
      <c r="F112" s="4" t="s">
        <v>44</v>
      </c>
      <c r="G112" s="12" t="s">
        <v>45</v>
      </c>
      <c r="H112" s="4" t="n">
        <v>3</v>
      </c>
      <c r="I112" s="13" t="n">
        <v>100</v>
      </c>
      <c r="J112" s="14" t="n">
        <v>0.0875</v>
      </c>
      <c r="K112" s="5" t="n">
        <v>8.75</v>
      </c>
      <c r="L112" s="12" t="s">
        <v>38</v>
      </c>
      <c r="M112" s="4" t="n">
        <v>1</v>
      </c>
      <c r="N112" s="5" t="n">
        <f aca="false">K112*M112</f>
        <v>8.75</v>
      </c>
      <c r="O112" s="15"/>
    </row>
  </sheetData>
  <autoFilter ref="A3:O1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